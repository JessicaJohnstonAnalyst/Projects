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25"/>
  <workbookPr defaultThemeVersion="166925"/>
  <xr:revisionPtr revIDLastSave="0" documentId="8_{D19BF89B-8BB0-45BC-93E7-99653B239589}" xr6:coauthVersionLast="47" xr6:coauthVersionMax="47" xr10:uidLastSave="{00000000-0000-0000-0000-000000000000}"/>
  <bookViews>
    <workbookView xWindow="240" yWindow="105" windowWidth="14805" windowHeight="8010" firstSheet="2" xr2:uid="{00000000-000D-0000-FFFF-FFFF00000000}"/>
  </bookViews>
  <sheets>
    <sheet name="Summary Visuals" sheetId="7" r:id="rId1"/>
    <sheet name="Agent Breakdown" sheetId="8" r:id="rId2"/>
    <sheet name="Supervisor Sheet" sheetId="9" r:id="rId3"/>
    <sheet name="April Cleaned Data" sheetId="5" r:id="rId4"/>
    <sheet name="Counts" sheetId="6" r:id="rId5"/>
    <sheet name="April Raw Data" sheetId="3" r:id="rId6"/>
    <sheet name="AgentSupervisorList" sheetId="4" r:id="rId7"/>
  </sheets>
  <definedNames>
    <definedName name="_xlnm._FilterDatabase" localSheetId="6" hidden="1">AgentSupervisorList!$A$1:$D$26</definedName>
    <definedName name="_xlnm._FilterDatabase" localSheetId="3" hidden="1">'April Cleaned Data'!$A$1:$J$52</definedName>
    <definedName name="_xlnm._FilterDatabase" localSheetId="2" hidden="1">'Supervisor Sheet'!$A$1:$H$52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5" i="9" l="1"/>
  <c r="A26" i="9"/>
  <c r="A27" i="9"/>
  <c r="A28" i="9"/>
  <c r="A43" i="9"/>
  <c r="A44" i="9"/>
  <c r="A45" i="9"/>
  <c r="A46" i="9"/>
  <c r="A34" i="9"/>
  <c r="A35" i="9"/>
  <c r="A36" i="9"/>
  <c r="A2" i="9"/>
  <c r="A3" i="9"/>
  <c r="A4" i="9"/>
  <c r="A37" i="9"/>
  <c r="A5" i="9"/>
  <c r="A47" i="9"/>
  <c r="A14" i="9"/>
  <c r="A15" i="9"/>
  <c r="A48" i="9"/>
  <c r="A38" i="9"/>
  <c r="A16" i="9"/>
  <c r="A17" i="9"/>
  <c r="A18" i="9"/>
  <c r="A29" i="9"/>
  <c r="A6" i="9"/>
  <c r="A7" i="9"/>
  <c r="A8" i="9"/>
  <c r="A19" i="9"/>
  <c r="A20" i="9"/>
  <c r="A21" i="9"/>
  <c r="A22" i="9"/>
  <c r="A9" i="9"/>
  <c r="A10" i="9"/>
  <c r="A11" i="9"/>
  <c r="A39" i="9"/>
  <c r="A40" i="9"/>
  <c r="A41" i="9"/>
  <c r="A42" i="9"/>
  <c r="A23" i="9"/>
  <c r="A12" i="9"/>
  <c r="A13" i="9"/>
  <c r="A49" i="9"/>
  <c r="A50" i="9"/>
  <c r="A30" i="9"/>
  <c r="A31" i="9"/>
  <c r="A32" i="9"/>
  <c r="A51" i="9"/>
  <c r="A52" i="9"/>
  <c r="A33" i="9"/>
  <c r="A24" i="9"/>
  <c r="C28" i="8"/>
  <c r="D28" i="8"/>
  <c r="E28" i="8"/>
  <c r="F28" i="8"/>
  <c r="G28" i="8"/>
  <c r="C29" i="8"/>
  <c r="D29" i="8"/>
  <c r="E29" i="8"/>
  <c r="F29" i="8"/>
  <c r="G29" i="8"/>
  <c r="C30" i="8"/>
  <c r="D30" i="8"/>
  <c r="E30" i="8"/>
  <c r="F30" i="8"/>
  <c r="G30" i="8"/>
  <c r="C31" i="8"/>
  <c r="D31" i="8"/>
  <c r="E31" i="8"/>
  <c r="F31" i="8"/>
  <c r="G31" i="8"/>
  <c r="C32" i="8"/>
  <c r="D32" i="8"/>
  <c r="E32" i="8"/>
  <c r="F32" i="8"/>
  <c r="C33" i="8"/>
  <c r="D33" i="8"/>
  <c r="E33" i="8"/>
  <c r="F33" i="8"/>
  <c r="C34" i="8"/>
  <c r="D34" i="8"/>
  <c r="E34" i="8"/>
  <c r="F34" i="8"/>
  <c r="C35" i="8"/>
  <c r="D35" i="8"/>
  <c r="E35" i="8"/>
  <c r="F35" i="8"/>
  <c r="C36" i="8"/>
  <c r="D36" i="8"/>
  <c r="E36" i="8"/>
  <c r="F36" i="8"/>
  <c r="C37" i="8"/>
  <c r="D37" i="8"/>
  <c r="E37" i="8"/>
  <c r="F37" i="8"/>
  <c r="C38" i="8"/>
  <c r="D38" i="8"/>
  <c r="E38" i="8"/>
  <c r="F38" i="8"/>
  <c r="C39" i="8"/>
  <c r="D39" i="8"/>
  <c r="E39" i="8"/>
  <c r="F39" i="8"/>
  <c r="C40" i="8"/>
  <c r="D40" i="8"/>
  <c r="E40" i="8"/>
  <c r="F40" i="8"/>
  <c r="C41" i="8"/>
  <c r="D41" i="8"/>
  <c r="E41" i="8"/>
  <c r="F41" i="8"/>
  <c r="C42" i="8"/>
  <c r="D42" i="8"/>
  <c r="E42" i="8"/>
  <c r="F42" i="8"/>
  <c r="C43" i="8"/>
  <c r="D43" i="8"/>
  <c r="E43" i="8"/>
  <c r="F43" i="8"/>
  <c r="C44" i="8"/>
  <c r="D44" i="8"/>
  <c r="E44" i="8"/>
  <c r="F44" i="8"/>
  <c r="C45" i="8"/>
  <c r="D45" i="8"/>
  <c r="E45" i="8"/>
  <c r="F45" i="8"/>
  <c r="C46" i="8"/>
  <c r="D46" i="8"/>
  <c r="E46" i="8"/>
  <c r="F46" i="8"/>
  <c r="C47" i="8"/>
  <c r="D47" i="8"/>
  <c r="E47" i="8"/>
  <c r="F47" i="8"/>
  <c r="C48" i="8"/>
  <c r="D48" i="8"/>
  <c r="E48" i="8"/>
  <c r="F48" i="8"/>
  <c r="C49" i="8"/>
  <c r="D49" i="8"/>
  <c r="E49" i="8"/>
  <c r="F49" i="8"/>
  <c r="C50" i="8"/>
  <c r="D50" i="8"/>
  <c r="E50" i="8"/>
  <c r="F50" i="8"/>
  <c r="C5" i="8"/>
  <c r="D6" i="8"/>
  <c r="E7" i="8"/>
  <c r="D8" i="8"/>
  <c r="E9" i="8"/>
  <c r="F10" i="8"/>
  <c r="C12" i="8"/>
  <c r="C13" i="8"/>
  <c r="D14" i="8"/>
  <c r="D15" i="8"/>
  <c r="E16" i="8"/>
  <c r="E17" i="8"/>
  <c r="F18" i="8"/>
  <c r="F19" i="8"/>
  <c r="C21" i="8"/>
  <c r="C22" i="8"/>
  <c r="D23" i="8"/>
  <c r="D24" i="8"/>
  <c r="E25" i="8"/>
  <c r="E26" i="8"/>
  <c r="F4" i="8"/>
  <c r="B35" i="8"/>
  <c r="B36" i="8"/>
  <c r="B37" i="8"/>
  <c r="B38" i="8"/>
  <c r="B39" i="8"/>
  <c r="B40" i="8"/>
  <c r="B41" i="8"/>
  <c r="B42" i="8"/>
  <c r="B43" i="8"/>
  <c r="B44" i="8"/>
  <c r="B45" i="8"/>
  <c r="B46" i="8"/>
  <c r="B47" i="8"/>
  <c r="B48" i="8"/>
  <c r="B49" i="8"/>
  <c r="B50" i="8"/>
  <c r="B28" i="8"/>
  <c r="B29" i="8"/>
  <c r="B30" i="8"/>
  <c r="B31" i="8"/>
  <c r="B32" i="8"/>
  <c r="B33" i="8"/>
  <c r="B34" i="8"/>
  <c r="A2" i="8" a="1"/>
  <c r="B11" i="6"/>
  <c r="B12" i="6"/>
  <c r="B10" i="6"/>
  <c r="B8" i="6"/>
  <c r="B9" i="6"/>
  <c r="B2" i="6"/>
  <c r="B1" i="6"/>
  <c r="B3" i="6" s="1"/>
  <c r="D7" i="5"/>
  <c r="D11" i="5"/>
  <c r="D13" i="5"/>
  <c r="D17" i="5"/>
  <c r="D18" i="5"/>
  <c r="D19" i="5"/>
  <c r="D23" i="5"/>
  <c r="D24" i="5"/>
  <c r="D27" i="5"/>
  <c r="D28" i="5"/>
  <c r="D31" i="5"/>
  <c r="D41" i="5"/>
  <c r="D42" i="5"/>
  <c r="D43" i="5"/>
  <c r="D45" i="5"/>
  <c r="D47" i="5"/>
  <c r="D48" i="5"/>
  <c r="D50" i="5"/>
  <c r="D52" i="5"/>
  <c r="D3" i="5"/>
  <c r="D4" i="5"/>
  <c r="D9" i="5"/>
  <c r="D14" i="5"/>
  <c r="D35" i="5"/>
  <c r="D36" i="5"/>
  <c r="D5" i="5"/>
  <c r="D10" i="5"/>
  <c r="D26" i="5"/>
  <c r="D12" i="5"/>
  <c r="D33" i="5"/>
  <c r="D46" i="5"/>
  <c r="D49" i="5"/>
  <c r="D15" i="5"/>
  <c r="D29" i="5"/>
  <c r="D38" i="5"/>
  <c r="D6" i="5"/>
  <c r="D21" i="5"/>
  <c r="D30" i="5"/>
  <c r="D8" i="5"/>
  <c r="D25" i="5"/>
  <c r="D39" i="5"/>
  <c r="D16" i="5"/>
  <c r="D20" i="5"/>
  <c r="D22" i="5"/>
  <c r="D40" i="5"/>
  <c r="D34" i="5"/>
  <c r="D32" i="5"/>
  <c r="D51" i="5"/>
  <c r="D44" i="5"/>
  <c r="D37" i="5"/>
  <c r="D2" i="5"/>
  <c r="C2" i="5"/>
  <c r="C11" i="5"/>
  <c r="C13" i="5"/>
  <c r="C17" i="5"/>
  <c r="C18" i="5"/>
  <c r="C19" i="5"/>
  <c r="C23" i="5"/>
  <c r="C24" i="5"/>
  <c r="C27" i="5"/>
  <c r="C28" i="5"/>
  <c r="C31" i="5"/>
  <c r="C41" i="5"/>
  <c r="C42" i="5"/>
  <c r="C43" i="5"/>
  <c r="C45" i="5"/>
  <c r="C47" i="5"/>
  <c r="C48" i="5"/>
  <c r="C50" i="5"/>
  <c r="C52" i="5"/>
  <c r="C3" i="5"/>
  <c r="C4" i="5"/>
  <c r="C9" i="5"/>
  <c r="C14" i="5"/>
  <c r="C35" i="5"/>
  <c r="C36" i="5"/>
  <c r="C5" i="5"/>
  <c r="C10" i="5"/>
  <c r="C26" i="5"/>
  <c r="C12" i="5"/>
  <c r="C33" i="5"/>
  <c r="C46" i="5"/>
  <c r="C49" i="5"/>
  <c r="C15" i="5"/>
  <c r="C29" i="5"/>
  <c r="C38" i="5"/>
  <c r="C6" i="5"/>
  <c r="C21" i="5"/>
  <c r="C30" i="5"/>
  <c r="C8" i="5"/>
  <c r="C25" i="5"/>
  <c r="C39" i="5"/>
  <c r="C16" i="5"/>
  <c r="C20" i="5"/>
  <c r="C22" i="5"/>
  <c r="C40" i="5"/>
  <c r="C34" i="5"/>
  <c r="C32" i="5"/>
  <c r="C51" i="5"/>
  <c r="C44" i="5"/>
  <c r="C37" i="5"/>
  <c r="C7" i="5"/>
  <c r="D5" i="8" l="1"/>
  <c r="E6" i="8"/>
  <c r="F7" i="8"/>
  <c r="F8" i="8"/>
  <c r="C10" i="8"/>
  <c r="D11" i="8"/>
  <c r="D12" i="8"/>
  <c r="E13" i="8"/>
  <c r="E14" i="8"/>
  <c r="F15" i="8"/>
  <c r="F16" i="8"/>
  <c r="C18" i="8"/>
  <c r="C19" i="8"/>
  <c r="D20" i="8"/>
  <c r="D21" i="8"/>
  <c r="E22" i="8"/>
  <c r="E23" i="8"/>
  <c r="F24" i="8"/>
  <c r="F25" i="8"/>
  <c r="C4" i="8"/>
  <c r="D3" i="8"/>
  <c r="F5" i="8"/>
  <c r="C7" i="8"/>
  <c r="C8" i="8"/>
  <c r="D9" i="8"/>
  <c r="E10" i="8"/>
  <c r="E11" i="8"/>
  <c r="F12" i="8"/>
  <c r="F13" i="8"/>
  <c r="C15" i="8"/>
  <c r="C16" i="8"/>
  <c r="D17" i="8"/>
  <c r="D18" i="8"/>
  <c r="E19" i="8"/>
  <c r="E20" i="8"/>
  <c r="F21" i="8"/>
  <c r="F22" i="8"/>
  <c r="C24" i="8"/>
  <c r="C25" i="8"/>
  <c r="D26" i="8"/>
  <c r="D4" i="8"/>
  <c r="E3" i="8"/>
  <c r="C27" i="8"/>
  <c r="D27" i="8"/>
  <c r="E27" i="8"/>
  <c r="F27" i="8"/>
  <c r="E5" i="8"/>
  <c r="G5" i="8" s="1"/>
  <c r="C6" i="8"/>
  <c r="F6" i="8"/>
  <c r="D7" i="8"/>
  <c r="E8" i="8"/>
  <c r="G8" i="8" s="1"/>
  <c r="C9" i="8"/>
  <c r="F9" i="8"/>
  <c r="D10" i="8"/>
  <c r="C11" i="8"/>
  <c r="F11" i="8"/>
  <c r="E12" i="8"/>
  <c r="D13" i="8"/>
  <c r="C14" i="8"/>
  <c r="G14" i="8" s="1"/>
  <c r="F14" i="8"/>
  <c r="E15" i="8"/>
  <c r="G15" i="8" s="1"/>
  <c r="D16" i="8"/>
  <c r="C17" i="8"/>
  <c r="F17" i="8"/>
  <c r="E18" i="8"/>
  <c r="D19" i="8"/>
  <c r="C20" i="8"/>
  <c r="F20" i="8"/>
  <c r="E21" i="8"/>
  <c r="D22" i="8"/>
  <c r="C23" i="8"/>
  <c r="G23" i="8" s="1"/>
  <c r="F23" i="8"/>
  <c r="E24" i="8"/>
  <c r="G24" i="8" s="1"/>
  <c r="H24" i="8" s="1"/>
  <c r="D25" i="8"/>
  <c r="C26" i="8"/>
  <c r="F26" i="8"/>
  <c r="E4" i="8"/>
  <c r="G4" i="8" s="1"/>
  <c r="C3" i="8"/>
  <c r="F3" i="8"/>
  <c r="G7" i="8"/>
  <c r="G19" i="8"/>
  <c r="A2" i="8"/>
  <c r="G18" i="8"/>
  <c r="G12" i="8"/>
  <c r="G10" i="8"/>
  <c r="G48" i="8"/>
  <c r="H48" i="8" s="1"/>
  <c r="G45" i="8"/>
  <c r="H45" i="8" s="1"/>
  <c r="G42" i="8"/>
  <c r="H42" i="8" s="1"/>
  <c r="G39" i="8"/>
  <c r="H39" i="8" s="1"/>
  <c r="G25" i="8"/>
  <c r="G21" i="8"/>
  <c r="G50" i="8"/>
  <c r="H50" i="8" s="1"/>
  <c r="G47" i="8"/>
  <c r="H47" i="8" s="1"/>
  <c r="G44" i="8"/>
  <c r="H44" i="8" s="1"/>
  <c r="G41" i="8"/>
  <c r="H41" i="8" s="1"/>
  <c r="G22" i="8"/>
  <c r="G16" i="8"/>
  <c r="G13" i="8"/>
  <c r="G49" i="8"/>
  <c r="H49" i="8" s="1"/>
  <c r="G46" i="8"/>
  <c r="H46" i="8" s="1"/>
  <c r="G43" i="8"/>
  <c r="H43" i="8" s="1"/>
  <c r="G40" i="8"/>
  <c r="H40" i="8" s="1"/>
  <c r="G38" i="8"/>
  <c r="H38" i="8" s="1"/>
  <c r="G37" i="8"/>
  <c r="H37" i="8" s="1"/>
  <c r="G36" i="8"/>
  <c r="H36" i="8" s="1"/>
  <c r="G35" i="8"/>
  <c r="H35" i="8" s="1"/>
  <c r="G34" i="8"/>
  <c r="H34" i="8" s="1"/>
  <c r="G33" i="8"/>
  <c r="H33" i="8" s="1"/>
  <c r="G32" i="8"/>
  <c r="H32" i="8" s="1"/>
  <c r="H31" i="8"/>
  <c r="H30" i="8"/>
  <c r="H29" i="8"/>
  <c r="H28" i="8"/>
  <c r="B27" i="8"/>
  <c r="B3" i="8"/>
  <c r="B4" i="8"/>
  <c r="B5" i="8"/>
  <c r="B6" i="8"/>
  <c r="B7" i="8"/>
  <c r="B8" i="8"/>
  <c r="B9" i="8"/>
  <c r="B10" i="8"/>
  <c r="B11" i="8"/>
  <c r="B12" i="8"/>
  <c r="B13" i="8"/>
  <c r="B14" i="8"/>
  <c r="B15" i="8"/>
  <c r="B16" i="8"/>
  <c r="B17" i="8"/>
  <c r="B18" i="8"/>
  <c r="B19" i="8"/>
  <c r="B20" i="8"/>
  <c r="B21" i="8"/>
  <c r="B22" i="8"/>
  <c r="B23" i="8"/>
  <c r="B24" i="8"/>
  <c r="B25" i="8"/>
  <c r="B26" i="8"/>
  <c r="G3" i="8" l="1"/>
  <c r="H3" i="8" s="1"/>
  <c r="G26" i="8"/>
  <c r="H26" i="8" s="1"/>
  <c r="H18" i="8"/>
  <c r="H4" i="8"/>
  <c r="G27" i="8"/>
  <c r="H27" i="8" s="1"/>
  <c r="H16" i="8"/>
  <c r="H21" i="8"/>
  <c r="H15" i="8"/>
  <c r="H19" i="8"/>
  <c r="G20" i="8"/>
  <c r="H20" i="8" s="1"/>
  <c r="G11" i="8"/>
  <c r="H11" i="8" s="1"/>
  <c r="G9" i="8"/>
  <c r="H9" i="8" s="1"/>
  <c r="G17" i="8"/>
  <c r="H17" i="8" s="1"/>
  <c r="H8" i="8"/>
  <c r="G6" i="8"/>
  <c r="H6" i="8" s="1"/>
  <c r="H22" i="8"/>
  <c r="H10" i="8"/>
  <c r="H7" i="8"/>
  <c r="H13" i="8"/>
  <c r="H25" i="8"/>
  <c r="H12" i="8"/>
  <c r="B2" i="8"/>
  <c r="C2" i="8"/>
  <c r="D2" i="8"/>
  <c r="F2" i="8"/>
  <c r="E2" i="8"/>
  <c r="H23" i="8"/>
  <c r="H14" i="8"/>
  <c r="H5" i="8"/>
  <c r="G2" i="8" l="1"/>
  <c r="H2" i="8"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<sst xmlns="http://schemas.openxmlformats.org/spreadsheetml/2006/main" count="962" uniqueCount="224">
  <si>
    <t>Agent Name</t>
  </si>
  <si>
    <t>Contacts Reviewed</t>
  </si>
  <si>
    <t>Dead Air</t>
  </si>
  <si>
    <t>Fillers/Punctuation</t>
  </si>
  <si>
    <t>First Contact Resolution</t>
  </si>
  <si>
    <t>Handle Time</t>
  </si>
  <si>
    <t>Total Opps</t>
  </si>
  <si>
    <t>% Opps</t>
  </si>
  <si>
    <t>Supervisor</t>
  </si>
  <si>
    <t>Date</t>
  </si>
  <si>
    <t>Channel</t>
  </si>
  <si>
    <t>Contact ID</t>
  </si>
  <si>
    <t>Order#</t>
  </si>
  <si>
    <t>Contact Notes</t>
  </si>
  <si>
    <t>Opportunities</t>
  </si>
  <si>
    <t>Gonzalez, Lucas</t>
  </si>
  <si>
    <t>Email</t>
  </si>
  <si>
    <t>An email came in requesting a refund for a damaged dress. Lucas sent a generic macro response that completely ignored the attached photo proof, requiring the customer to email back in annoyance.</t>
  </si>
  <si>
    <t>Chat</t>
  </si>
  <si>
    <t>27-32257</t>
  </si>
  <si>
    <t>The customer asked a simple question about return windows. Lucas took over 4 minutes to type each basic response, leading the customer to ask if anyone was still there.</t>
  </si>
  <si>
    <t>27-32153</t>
  </si>
  <si>
    <t>Customer wants to know why they can't process their order. After asking several probing questions, the agent determined the customer was entering the wrong number as the CVV.</t>
  </si>
  <si>
    <t>Hernandez, Benjamin</t>
  </si>
  <si>
    <t>Customer wrote in to advise their zipper is broken after one use. The agent apologized, went over return process, and sent label.</t>
  </si>
  <si>
    <t>Lopez, Isabella</t>
  </si>
  <si>
    <t>Phone</t>
  </si>
  <si>
    <t>AD12444</t>
  </si>
  <si>
    <t>The customer called in to try to place an order over the phone. The agent walked the customer through the ordering process.   Agent thanked the customer for calling, but forgot to give the ending script.  The customer did not hang up, so after a couple minutes the agent provided the disconnect script and ended the call.</t>
  </si>
  <si>
    <t>Scripting/Templates, Dead Air</t>
  </si>
  <si>
    <t>27-32258</t>
  </si>
  <si>
    <t>The shopper’s tracking number hadn't updated in 5 days. Isabella quickly opened an investigation with the carrier and proactively set up a text alert to keep the customer updated.</t>
  </si>
  <si>
    <t>27-32265</t>
  </si>
  <si>
    <t>A customer received a pair of shoes with two different sizes. Isabella apologized for the warehouse mix-up, sent out the correct pair via express shipping, and told the customer to donate the mismatched pair.</t>
  </si>
  <si>
    <t>Martinez, Sophia</t>
  </si>
  <si>
    <t>A bulk-order customer requested a custom invoice format for their corporate event clothing. Sophia coordinated with billing and delivered the exact breakdown requested.</t>
  </si>
  <si>
    <t>AD12540</t>
  </si>
  <si>
    <t>The caller was highly irate about a major shipping delay. Sophia accidentally interrupted the customer mid-sentence to quote policy, which caused the customer to escalate the call to a manager.</t>
  </si>
  <si>
    <t>AD12447</t>
  </si>
  <si>
    <t>The customer called in to complain about previous service. They've called several times for various issues and has never had a happy experience. Most recently, they got a coupon they couldn't use and the replacement coupon didn't work.  The agent seemed nervous and stammered a lot during the conversation, which made the customer escalate and ask for a Supervisor. Agent transferred to a Specialist.</t>
  </si>
  <si>
    <t>Rodriguez, William</t>
  </si>
  <si>
    <t>AD12450</t>
  </si>
  <si>
    <t>Standard WIZMO call. No notes for agent.</t>
  </si>
  <si>
    <t>27-32262</t>
  </si>
  <si>
    <t>A customer reached out on behalf of their teenager to find a trending jacket. William found a hidden restock in the inventory log and reserved it for them.</t>
  </si>
  <si>
    <t>Dead Air, Fillers/Punctuation, First Contact Resolution</t>
  </si>
  <si>
    <t>Jackson, Mason</t>
  </si>
  <si>
    <t>Customer wrote in angrily because the coupon code they tried using was not working. The agent aplogized and asked them to reply with the code they were attempting to use.</t>
  </si>
  <si>
    <t>Scripting/Templates</t>
  </si>
  <si>
    <t>27-32264</t>
  </si>
  <si>
    <t>The customer asked if a specific material contained wool due to a severe allergy. Mason guessed "no" without checking the product spec sheet, creating a major safety risk.</t>
  </si>
  <si>
    <t>Lee, Michael</t>
  </si>
  <si>
    <t>AD12442</t>
  </si>
  <si>
    <t>Customer called because their order was marked as delivered, but they didn't recieve it. The agent checked the tracking, confirmed it was delivered over two days ago, and offered to reship overnight. The customer agreed.</t>
  </si>
  <si>
    <t>27-32267</t>
  </si>
  <si>
    <t>A customer couldn't find where to enter a gift card code on a mobile browser. Michael took a quick screenshot, circled the field, and sent it over, resolving the issue instantly.</t>
  </si>
  <si>
    <t>AD12543</t>
  </si>
  <si>
    <t>The customer called about a double-billing error. Michael put the customer on hold for over 10 minutes without checking back in, leading to a frustrated hang-up.</t>
  </si>
  <si>
    <t>Dead Air, First Contact Resolution, Handle Time</t>
  </si>
  <si>
    <t>Martin, Camila</t>
  </si>
  <si>
    <t>AD12445</t>
  </si>
  <si>
    <t>The customer contacted to initiate a return for a shirt that she didn't love - did not elaborate why.  The agent explained the return process and provided the return label.</t>
  </si>
  <si>
    <t>AD12446</t>
  </si>
  <si>
    <t>The customer is calling back to talk to a Specialist regarding a complaint she wanted to make about the website. The agent put the customer on hold to transfer her over.</t>
  </si>
  <si>
    <t>Martinez, Bill</t>
  </si>
  <si>
    <t>AD12545</t>
  </si>
  <si>
    <t>The customer called to report a broken website link on a major promotion page. Agentvalidated the issue, reported it immediately to IT, and manually applied the promo price for the caller.</t>
  </si>
  <si>
    <t>27-32259</t>
  </si>
  <si>
    <t>A customer wanted to cancel an order placed 5 minutes prior. Bill acted instantly, canceling the order before it hit fulfillment and saving the customer return shipping fees.</t>
  </si>
  <si>
    <t>Moore, Harper</t>
  </si>
  <si>
    <t>AD12449</t>
  </si>
  <si>
    <t>Customer called because her address is incorrect on her order. She put the wrong house number on the address. The agent apologized, checked the tracking, noted it hasn't left the facility left, and issued a ticket to the carrier to update the address.</t>
  </si>
  <si>
    <t>Anderson, Henry</t>
  </si>
  <si>
    <t>AD12434</t>
  </si>
  <si>
    <t xml:space="preserve">Customer called to track order. Agent checked order, provided information of wrong order. </t>
  </si>
  <si>
    <t>Dead Air, First Contact Resolution</t>
  </si>
  <si>
    <t>27-32146</t>
  </si>
  <si>
    <t>A shopper asked for sizing recommendations for a specific brand of jeans. Henry looked up the precise measurements and helped them confidently pick the right size.</t>
  </si>
  <si>
    <t>27-32145</t>
  </si>
  <si>
    <t>A customer was disconnect-looping and frustrated. Henry didn't read the prior notes from the immediate previous chat and made the customer repeat their shipping address issue all over again.  Customer ended up disconnecting again.</t>
  </si>
  <si>
    <t>AD12541</t>
  </si>
  <si>
    <t>An elderly customer called confused about how to initiate an online return. Henry remained incredibly warm and patient, staying on the line until the return label was successfully printed.</t>
  </si>
  <si>
    <t>27-32263</t>
  </si>
  <si>
    <t>The customer's package was stolen from their porch. Henry expressed genuine empathy and authorized a one-time courtesy replacement order to be shipped to a secure pickup location.</t>
  </si>
  <si>
    <t>Lee, Sophia</t>
  </si>
  <si>
    <t>AD12443</t>
  </si>
  <si>
    <t>The customer called to report that their third package has arrived damaged. The agent checked the customer's history, saw repeated communications, and forwarded to a Specialist to handle.</t>
  </si>
  <si>
    <t>Taylor, Alexander</t>
  </si>
  <si>
    <t>AD12452</t>
  </si>
  <si>
    <t>11152/11153</t>
  </si>
  <si>
    <t>Customer about a double charge. Agent found two orders were shipped. Customer will return one when both arrive.</t>
  </si>
  <si>
    <t>Thomas, Evelyn</t>
  </si>
  <si>
    <t>27-32149</t>
  </si>
  <si>
    <t>The customer reached out to exchange a sweater size. Evelyn processed the return label and applied a courtesy discount for a future purchase, leaving the customer thrilled.</t>
  </si>
  <si>
    <t>Dead Air, Handle Time</t>
  </si>
  <si>
    <t>27-32256</t>
  </si>
  <si>
    <t>A customer was looking for a specific outfit style for a family photoshoot. Evelyn acted as a personal stylist, dropping links to coordinating pieces that the customer immediately bought.</t>
  </si>
  <si>
    <t>Wilson, Mia</t>
  </si>
  <si>
    <t>27-32147</t>
  </si>
  <si>
    <t>The customer was frustrated that a clearance item sold out while in their cart. Mia gave rigid, scripted responses without offering alternative items, causing the customer to close the chat abruptly.</t>
  </si>
  <si>
    <t>Davis, Charlotte</t>
  </si>
  <si>
    <t>27-32155</t>
  </si>
  <si>
    <t>Customer chatted in to inquire if we have any shirts in an Orange color.  Agent took a long time (2+ minutes) to research without getting back to the customer, but came back and provided a list of shirts that come in Orange.  Some of these were discontinued, though.</t>
  </si>
  <si>
    <t>AD12544</t>
  </si>
  <si>
    <t>A customer called to praise a previous agent but stayed to order more items. Charlotte expertly cross-sold a matching accessory set, increasing the overall order value.</t>
  </si>
  <si>
    <t>Garcia, Ava</t>
  </si>
  <si>
    <t>27-32154</t>
  </si>
  <si>
    <t>Customer chatted in to see if we are hiring.  Agent referred to company career site.</t>
  </si>
  <si>
    <t>Hernandez, Amelia</t>
  </si>
  <si>
    <t>Customer emailed to ask where their order is - the tracking information isn't working for them.  The agent replied with outdated template to provide tracking information and estimated delivery date. Accurate information was given, however.</t>
  </si>
  <si>
    <t>Jones, Oliver</t>
  </si>
  <si>
    <t>AD12441</t>
  </si>
  <si>
    <t>The customer called, irate because they felt like they were double-charged for their order. Agent attempted to explain authorization holds, but the customer kept cutting them off and hung up on the agent.</t>
  </si>
  <si>
    <t>Dead Air, Fillers/Punctuation</t>
  </si>
  <si>
    <t>Miller, Elijah</t>
  </si>
  <si>
    <t>27-32261</t>
  </si>
  <si>
    <t>In a back-to-back chat, Elijah mixed up this customer's order details with a previous cancellation request, causing massive confusion for a customer who actually wanted to add an item.  Customer had to chat in later to get clarification.</t>
  </si>
  <si>
    <t>Fillers/Punctuation, First Contact Resolution</t>
  </si>
  <si>
    <t>27-32266</t>
  </si>
  <si>
    <t>Elijah took over a transferred chat from Emma but failed to read the active conversation, asking the user "How can I help you today?" which caused the customer further upset, and they requested to speak to a supervisor.</t>
  </si>
  <si>
    <t>27-32260</t>
  </si>
  <si>
    <t>A customer complained that a shirt shrank significantly after one wash. Eli bluntly stated that because it was washed, it was no longer eligible for return, offering zero empathy or alternative solutions.</t>
  </si>
  <si>
    <t>AD12448</t>
  </si>
  <si>
    <t>Customer wanted to know where their order is. They can't check their email. The agent checked tracking and advised it was delivered.  However, in watching the screen recording, the product isn't expected to be delivered until 4/15.</t>
  </si>
  <si>
    <t>Brown, Emma</t>
  </si>
  <si>
    <t>AD12435</t>
  </si>
  <si>
    <t>Customer wanted to know if products were ethically sourced.  Agent correctly provided information to sourcing.</t>
  </si>
  <si>
    <t>The customer was typing in all caps about an unapplied gift card. Emma matched the customer's defensive energy with cold, abrupt short phrases, escalating the tension. Customer asked for a new agent. Agent disconnected chat.</t>
  </si>
  <si>
    <t>A customer emailed about a missing item from their package. Emma responded within an hour, apologized sincerely, and immediately processed a expedited replacement shipment.</t>
  </si>
  <si>
    <t>AD12542</t>
  </si>
  <si>
    <t>A panicked customer called needing a dress changed to overnight shipping for a wedding. Emma intercepted the order in the warehouse management system just in time to upgrade the shipping method. However, she did not mention that the upgrade won't show for 24 hours.</t>
  </si>
  <si>
    <t>Hernandez, James</t>
  </si>
  <si>
    <t>Customer replied to 1244 with thanks. The agent closed the conversation without replying.</t>
  </si>
  <si>
    <t>Johnson, Olivia</t>
  </si>
  <si>
    <t>AD12440</t>
  </si>
  <si>
    <t>Customer called to ask about clothing that can be purchased in a variety of sizes: They are going on a family trip soon and want everyone to match.  The agent was able to discuss all of the options that meet their requirements. The customer ended the call happy and advised they would make a purchase in the next few days.  This contact does meet the criteria for the "Handle Time" note, but the agent was helpful to the customer and I do not believe this requires coaching.</t>
  </si>
  <si>
    <t>Smith, Liam</t>
  </si>
  <si>
    <t>AD12451</t>
  </si>
  <si>
    <t>Customer didn't receive order, then found it on porch. No issues. No notes for agent.</t>
  </si>
  <si>
    <t>AD12546</t>
  </si>
  <si>
    <t>The caller had a thick accent and was struggling to explain a refund issue. Liam showed visible impatience and spoke too fast, making the customer feel unwelcome and dismissed.</t>
  </si>
  <si>
    <t>Williams, Noah</t>
  </si>
  <si>
    <t>27-32148</t>
  </si>
  <si>
    <t>A customer needed help navigating the checkout page with a promo code. Noah patiently guided them click-by-click until the order went through successfully.</t>
  </si>
  <si>
    <t>Agent Name_First</t>
  </si>
  <si>
    <t>Agent Name_Last</t>
  </si>
  <si>
    <t>Agent Name, Proper</t>
  </si>
  <si>
    <t>Henry Anderson</t>
  </si>
  <si>
    <t>Brown,, Emma</t>
  </si>
  <si>
    <t>Jackson, Masonn</t>
  </si>
  <si>
    <t>Lee, Michel</t>
  </si>
  <si>
    <t>Millerr, Elijah</t>
  </si>
  <si>
    <t>Total Contacts</t>
  </si>
  <si>
    <t>Yes</t>
  </si>
  <si>
    <t>No</t>
  </si>
  <si>
    <t>Original Call Driver</t>
  </si>
  <si>
    <t>Order Tracking</t>
  </si>
  <si>
    <t>Product Inquiry</t>
  </si>
  <si>
    <t>Other</t>
  </si>
  <si>
    <t>Damaged Product</t>
  </si>
  <si>
    <t>Billing Issue</t>
  </si>
  <si>
    <t>Order Not Recieved</t>
  </si>
  <si>
    <t>Place an Order</t>
  </si>
  <si>
    <t>Product Return</t>
  </si>
  <si>
    <t>Address Issue</t>
  </si>
  <si>
    <t>Website Issue</t>
  </si>
  <si>
    <t>Short-shipped</t>
  </si>
  <si>
    <t>Update Order</t>
  </si>
  <si>
    <t>Wrong Product</t>
  </si>
  <si>
    <t>Cancel Order</t>
  </si>
  <si>
    <t>Agent First Name</t>
  </si>
  <si>
    <t>Agent Last Name</t>
  </si>
  <si>
    <t>Last, First</t>
  </si>
  <si>
    <t>Agent Supervisor</t>
  </si>
  <si>
    <t>Henry</t>
  </si>
  <si>
    <t>Anderson</t>
  </si>
  <si>
    <t>Mercer, Gideon</t>
  </si>
  <si>
    <t>Emma</t>
  </si>
  <si>
    <t>Brown</t>
  </si>
  <si>
    <t>Vance, Sterling</t>
  </si>
  <si>
    <t>Charlotte</t>
  </si>
  <si>
    <t>Davis</t>
  </si>
  <si>
    <t>Thorne, Alistair</t>
  </si>
  <si>
    <t>Ava</t>
  </si>
  <si>
    <t>Garcia</t>
  </si>
  <si>
    <t>Lucas</t>
  </si>
  <si>
    <t>Gonzalez</t>
  </si>
  <si>
    <t>Blackwood, Seraphina</t>
  </si>
  <si>
    <t>Amelia</t>
  </si>
  <si>
    <t>Hernandez</t>
  </si>
  <si>
    <t>Benjamin</t>
  </si>
  <si>
    <t>James</t>
  </si>
  <si>
    <t>Mason</t>
  </si>
  <si>
    <t>Jackson</t>
  </si>
  <si>
    <t>Finch, Cordelia</t>
  </si>
  <si>
    <t>Olivia</t>
  </si>
  <si>
    <t>Johnson</t>
  </si>
  <si>
    <t>Oliver</t>
  </si>
  <si>
    <t>Jones</t>
  </si>
  <si>
    <t>Michael</t>
  </si>
  <si>
    <t>Lee</t>
  </si>
  <si>
    <t>Sophia</t>
  </si>
  <si>
    <t>Isabella</t>
  </si>
  <si>
    <t>Lopez</t>
  </si>
  <si>
    <t>Camila</t>
  </si>
  <si>
    <t>Martin</t>
  </si>
  <si>
    <t>Bill</t>
  </si>
  <si>
    <t>Martinez</t>
  </si>
  <si>
    <t>Elijah</t>
  </si>
  <si>
    <t>Miller</t>
  </si>
  <si>
    <t>Harper</t>
  </si>
  <si>
    <t>Moore</t>
  </si>
  <si>
    <t>William</t>
  </si>
  <si>
    <t>Rodriguez</t>
  </si>
  <si>
    <t>Liam</t>
  </si>
  <si>
    <t>Smith</t>
  </si>
  <si>
    <t>Alexander</t>
  </si>
  <si>
    <t>Taylor</t>
  </si>
  <si>
    <t>Evelyn</t>
  </si>
  <si>
    <t>Thomas</t>
  </si>
  <si>
    <t>Noah</t>
  </si>
  <si>
    <t>Williams</t>
  </si>
  <si>
    <t>Mia</t>
  </si>
  <si>
    <t>Wilson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</si>
</sst>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color rgb="FF000000"/>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0" fillId="0" borderId="0" xfId="0" applyAlignment="1">
      <alignment wrapText="1"/>
    </xf>
    <xf numFmtId="14" fontId="0" fillId="0" borderId="0" xfId="0" applyNumberFormat="1"/>
    <xf numFmtId="0" fontId="1" fillId="0" borderId="0" xfId="0" applyFont="1" applyAlignment="1">
      <alignment wrapText="1"/>
    </xf>
    <xf numFmtId="9" fontId="0" fillId="0" borderId="0" xfId="0" applyNumberFormat="1"/>
    <xf numFmtId="0" fontId="0" fillId="0" borderId="1" xfId="0" applyBorder="1"/>
    <xf numFmtId="0" fontId="0" fillId="0" borderId="1" xfId="0" applyBorder="1" applyAlignment="1">
      <alignment textRotation="45"/>
    </xf>
    <xf numFmtId="0" fontId="0" fillId="0" borderId="1" xfId="0" applyBorder="1" applyAlignment="1">
      <alignment textRotation="45" wrapText="1"/>
    </xf>
    <xf numFmtId="9" fontId="0" fillId="0" borderId="1" xfId="0" applyNumberFormat="1" applyBorder="1"/>
  </cellXfs>
  <cellStyles count="1">
    <cellStyle name="Normal" xfId="0" builtinId="0"/>
  </cellStyles>
  <dxfs count="2">
    <dxf>
      <font>
        <color theme="0"/>
      </font>
      <border>
        <left style="thin">
          <color rgb="FF9C0006"/>
        </left>
        <right style="thin">
          <color rgb="FF9C0006"/>
        </right>
        <top style="thin">
          <color rgb="FF9C0006"/>
        </top>
        <bottom style="thin">
          <color rgb="FF9C0006"/>
        </bottom>
      </border>
    </dxf>
    <dxf>
      <font>
        <color theme="0"/>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Reviewed Contacts with Opportunities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0E-4D1B-A80E-42B0CFECD1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0E-4D1B-A80E-42B0CFECD1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ctr"/>
            <c:showLegendKey val="0"/>
            <c:showVal val="0"/>
            <c:showCatName val="1"/>
            <c:showSerName val="0"/>
            <c:showPercent val="1"/>
            <c:showBubbleSize val="0"/>
            <c:separator> </c:separator>
            <c:showLeaderLines val="0"/>
            <c:extLst>
              <c:ext xmlns:c15="http://schemas.microsoft.com/office/drawing/2012/chart" uri="{CE6537A1-D6FC-4f65-9D91-7224C49458BB}"/>
            </c:extLst>
          </c:dLbls>
          <c:cat>
            <c:strRef>
              <c:f>Counts!$A$2:$A$3</c:f>
              <c:strCache>
                <c:ptCount val="2"/>
                <c:pt idx="0">
                  <c:v>Yes</c:v>
                </c:pt>
                <c:pt idx="1">
                  <c:v>No</c:v>
                </c:pt>
              </c:strCache>
            </c:strRef>
          </c:cat>
          <c:val>
            <c:numRef>
              <c:f>Counts!$B$2:$B$3</c:f>
              <c:numCache>
                <c:formatCode>General</c:formatCode>
                <c:ptCount val="2"/>
                <c:pt idx="0">
                  <c:v>41</c:v>
                </c:pt>
                <c:pt idx="1">
                  <c:v>9</c:v>
                </c:pt>
              </c:numCache>
            </c:numRef>
          </c:val>
          <c:extLst>
            <c:ext xmlns:c16="http://schemas.microsoft.com/office/drawing/2014/chart" uri="{C3380CC4-5D6E-409C-BE32-E72D297353CC}">
              <c16:uniqueId val="{00000004-C90E-4D1B-A80E-42B0CFECD18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Count of Opportunities Found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rgbClr val="4472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Counts!$A$8:$A$12</c:f>
              <c:strCache>
                <c:ptCount val="5"/>
                <c:pt idx="0">
                  <c:v>Scripting/Templates</c:v>
                </c:pt>
                <c:pt idx="1">
                  <c:v>Dead Air</c:v>
                </c:pt>
                <c:pt idx="2">
                  <c:v>Fillers/Punctuation</c:v>
                </c:pt>
                <c:pt idx="3">
                  <c:v>First Contact Resolution</c:v>
                </c:pt>
                <c:pt idx="4">
                  <c:v>Handle Time</c:v>
                </c:pt>
              </c:strCache>
            </c:strRef>
          </c:cat>
          <c:val>
            <c:numRef>
              <c:f>Counts!$B$8:$B$12</c:f>
              <c:numCache>
                <c:formatCode>General</c:formatCode>
                <c:ptCount val="5"/>
                <c:pt idx="0">
                  <c:v>5</c:v>
                </c:pt>
                <c:pt idx="1">
                  <c:v>12</c:v>
                </c:pt>
                <c:pt idx="2">
                  <c:v>11</c:v>
                </c:pt>
                <c:pt idx="3">
                  <c:v>16</c:v>
                </c:pt>
                <c:pt idx="4">
                  <c:v>8</c:v>
                </c:pt>
              </c:numCache>
            </c:numRef>
          </c:val>
          <c:extLst>
            <c:ext xmlns:c16="http://schemas.microsoft.com/office/drawing/2014/chart" uri="{C3380CC4-5D6E-409C-BE32-E72D297353CC}">
              <c16:uniqueId val="{00000000-16EE-4962-A538-A8063E253A5F}"/>
            </c:ext>
          </c:extLst>
        </c:ser>
        <c:dLbls>
          <c:dLblPos val="inEnd"/>
          <c:showLegendKey val="0"/>
          <c:showVal val="1"/>
          <c:showCatName val="0"/>
          <c:showSerName val="0"/>
          <c:showPercent val="0"/>
          <c:showBubbleSize val="0"/>
        </c:dLbls>
        <c:gapWidth val="182"/>
        <c:axId val="1754670600"/>
        <c:axId val="1754718216"/>
      </c:barChart>
      <c:catAx>
        <c:axId val="1754670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718216"/>
        <c:crosses val="autoZero"/>
        <c:auto val="1"/>
        <c:lblAlgn val="ctr"/>
        <c:lblOffset val="100"/>
        <c:noMultiLvlLbl val="0"/>
      </c:catAx>
      <c:valAx>
        <c:axId val="1754718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6706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581025</xdr:colOff>
      <xdr:row>31</xdr:row>
      <xdr:rowOff>9525</xdr:rowOff>
    </xdr:to>
    <xdr:graphicFrame macro="">
      <xdr:nvGraphicFramePr>
        <xdr:cNvPr id="2" name="Chart 1">
          <a:extLst>
            <a:ext uri="{FF2B5EF4-FFF2-40B4-BE49-F238E27FC236}">
              <a16:creationId xmlns:a16="http://schemas.microsoft.com/office/drawing/2014/main" id="{8A208751-C728-40D6-B471-C41B4D6A37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590550</xdr:colOff>
      <xdr:row>0</xdr:row>
      <xdr:rowOff>9525</xdr:rowOff>
    </xdr:from>
    <xdr:to>
      <xdr:col>23</xdr:col>
      <xdr:colOff>571500</xdr:colOff>
      <xdr:row>31</xdr:row>
      <xdr:rowOff>19050</xdr:rowOff>
    </xdr:to>
    <xdr:graphicFrame macro="">
      <xdr:nvGraphicFramePr>
        <xdr:cNvPr id="3" name="Chart 2">
          <a:extLst>
            <a:ext uri="{FF2B5EF4-FFF2-40B4-BE49-F238E27FC236}">
              <a16:creationId xmlns:a16="http://schemas.microsoft.com/office/drawing/2014/main" id="{69D2A5C4-2AA7-4329-B388-080475B5BA06}"/>
            </a:ext>
            <a:ext uri="{147F2762-F138-4A5C-976F-8EAC2B608ADB}">
              <a16:predDERef xmlns:a16="http://schemas.microsoft.com/office/drawing/2014/main" pred="{8A208751-C728-40D6-B471-C41B4D6A37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09907-6140-427D-85A6-85151D628BCD}">
  <sheetPr>
    <tabColor rgb="FF0070C0"/>
  </sheetPr>
  <dimension ref="A1"/>
  <sheetViews>
    <sheetView showGridLines="0" tabSelected="1" workbookViewId="0">
      <selection activeCell="AA4" sqref="AA4"/>
    </sheetView>
  </sheetViews>
  <sheetFormatPr defaultRowHeight="1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B24A2-6BF6-492B-A1D0-7A02BF6475E1}">
  <sheetPr>
    <tabColor theme="8"/>
  </sheetPr>
  <dimension ref="A1:H50"/>
  <sheetViews>
    <sheetView workbookViewId="0">
      <selection activeCell="A2" sqref="A2"/>
    </sheetView>
  </sheetViews>
  <sheetFormatPr defaultRowHeight="15"/>
  <cols>
    <col min="1" max="1" width="19.5703125" bestFit="1" customWidth="1"/>
    <col min="2" max="2" width="14.28515625" bestFit="1" customWidth="1"/>
    <col min="3" max="3" width="8" bestFit="1" customWidth="1"/>
    <col min="4" max="4" width="17.42578125" bestFit="1" customWidth="1"/>
    <col min="5" max="5" width="21.7109375" bestFit="1" customWidth="1"/>
    <col min="6" max="6" width="11.85546875" bestFit="1" customWidth="1"/>
    <col min="7" max="7" width="10.28515625" bestFit="1" customWidth="1"/>
    <col min="8" max="8" width="14.42578125" bestFit="1" customWidth="1"/>
  </cols>
  <sheetData>
    <row r="1" spans="1:8" ht="90">
      <c r="A1" s="5" t="s">
        <v>0</v>
      </c>
      <c r="B1" s="6" t="s">
        <v>1</v>
      </c>
      <c r="C1" s="6" t="s">
        <v>2</v>
      </c>
      <c r="D1" s="6" t="s">
        <v>3</v>
      </c>
      <c r="E1" s="6" t="s">
        <v>4</v>
      </c>
      <c r="F1" s="6" t="s">
        <v>5</v>
      </c>
      <c r="G1" s="7" t="s">
        <v>6</v>
      </c>
      <c r="H1" s="6" t="s">
        <v>7</v>
      </c>
    </row>
    <row r="2" spans="1:8">
      <c r="A2" s="5" t="str" cm="1">
        <f t="array" ref="A2:A26">_xlfn.UNIQUE(_xlfn._TRO_TRAILING('April Cleaned Data'!E2:E552))</f>
        <v>Anderson, Henry</v>
      </c>
      <c r="B2" s="5">
        <f>COUNTIF('April Cleaned Data'!E:E,'Agent Breakdown'!A2)</f>
        <v>5</v>
      </c>
      <c r="C2" s="5">
        <f>COUNTIFS('April Cleaned Data'!$E:$E, $A2, 'April Cleaned Data'!$J:$J, "*"&amp;$C$1&amp;"*")</f>
        <v>1</v>
      </c>
      <c r="D2" s="5">
        <f>COUNTIFS('April Cleaned Data'!$E:$E, $A2, 'April Cleaned Data'!$J:$J, "*"&amp;$D$1&amp;"*")</f>
        <v>1</v>
      </c>
      <c r="E2" s="5">
        <f>COUNTIFS('April Cleaned Data'!$E:$E, $A2, 'April Cleaned Data'!$J:$J, "*"&amp;$E$1&amp;"*")</f>
        <v>2</v>
      </c>
      <c r="F2" s="5">
        <f>COUNTIFS('April Cleaned Data'!$E:$E, $A2, 'April Cleaned Data'!$J:$J, "*"&amp;$F$1&amp;"*")</f>
        <v>1</v>
      </c>
      <c r="G2" s="5">
        <f>SUM(C2:F2)</f>
        <v>5</v>
      </c>
      <c r="H2" s="8">
        <f>IFERROR(G2/B2, 0)</f>
        <v>1</v>
      </c>
    </row>
    <row r="3" spans="1:8">
      <c r="A3" s="5" t="str">
        <v>Brown, Emma</v>
      </c>
      <c r="B3" s="5">
        <f>COUNTIF('April Cleaned Data'!E:E,'Agent Breakdown'!A3)</f>
        <v>4</v>
      </c>
      <c r="C3" s="5">
        <f>COUNTIFS('April Cleaned Data'!$E:$E, $A3, 'April Cleaned Data'!$J:$J, "*"&amp;$C$1&amp;"*")</f>
        <v>1</v>
      </c>
      <c r="D3" s="5">
        <f>COUNTIFS('April Cleaned Data'!$E:$E, $A3, 'April Cleaned Data'!$J:$J, "*"&amp;$D$1&amp;"*")</f>
        <v>2</v>
      </c>
      <c r="E3" s="5">
        <f>COUNTIFS('April Cleaned Data'!$E:$E, $A3, 'April Cleaned Data'!$J:$J, "*"&amp;$E$1&amp;"*")</f>
        <v>2</v>
      </c>
      <c r="F3" s="5">
        <f>COUNTIFS('April Cleaned Data'!$E:$E, $A3, 'April Cleaned Data'!$J:$J, "*"&amp;$F$1&amp;"*")</f>
        <v>0</v>
      </c>
      <c r="G3" s="5">
        <f>SUM(C3:F3)</f>
        <v>5</v>
      </c>
      <c r="H3" s="8">
        <f t="shared" ref="H3:H50" si="0">IFERROR(G3/B3, 0)</f>
        <v>1.25</v>
      </c>
    </row>
    <row r="4" spans="1:8">
      <c r="A4" s="5" t="str">
        <v>Davis, Charlotte</v>
      </c>
      <c r="B4" s="5">
        <f>COUNTIF('April Cleaned Data'!E:E,'Agent Breakdown'!A4)</f>
        <v>2</v>
      </c>
      <c r="C4" s="5">
        <f>COUNTIFS('April Cleaned Data'!$E:$E, $A4, 'April Cleaned Data'!$J:$J, "*"&amp;$C$1&amp;"*")</f>
        <v>1</v>
      </c>
      <c r="D4" s="5">
        <f>COUNTIFS('April Cleaned Data'!$E:$E, $A4, 'April Cleaned Data'!$J:$J, "*"&amp;$D$1&amp;"*")</f>
        <v>0</v>
      </c>
      <c r="E4" s="5">
        <f>COUNTIFS('April Cleaned Data'!$E:$E, $A4, 'April Cleaned Data'!$J:$J, "*"&amp;$E$1&amp;"*")</f>
        <v>1</v>
      </c>
      <c r="F4" s="5">
        <f>COUNTIFS('April Cleaned Data'!$E:$E, $A4, 'April Cleaned Data'!$J:$J, "*"&amp;$F$1&amp;"*")</f>
        <v>0</v>
      </c>
      <c r="G4" s="5">
        <f>SUM(C4:F4)</f>
        <v>2</v>
      </c>
      <c r="H4" s="8">
        <f t="shared" si="0"/>
        <v>1</v>
      </c>
    </row>
    <row r="5" spans="1:8">
      <c r="A5" s="5" t="str">
        <v>Garcia, Ava</v>
      </c>
      <c r="B5" s="5">
        <f>COUNTIF('April Cleaned Data'!E:E,'Agent Breakdown'!A5)</f>
        <v>1</v>
      </c>
      <c r="C5" s="5">
        <f>COUNTIFS('April Cleaned Data'!$E:$E, $A5, 'April Cleaned Data'!$J:$J, "*"&amp;$C$1&amp;"*")</f>
        <v>1</v>
      </c>
      <c r="D5" s="5">
        <f>COUNTIFS('April Cleaned Data'!$E:$E, $A5, 'April Cleaned Data'!$J:$J, "*"&amp;$D$1&amp;"*")</f>
        <v>0</v>
      </c>
      <c r="E5" s="5">
        <f>COUNTIFS('April Cleaned Data'!$E:$E, $A5, 'April Cleaned Data'!$J:$J, "*"&amp;$E$1&amp;"*")</f>
        <v>0</v>
      </c>
      <c r="F5" s="5">
        <f>COUNTIFS('April Cleaned Data'!$E:$E, $A5, 'April Cleaned Data'!$J:$J, "*"&amp;$F$1&amp;"*")</f>
        <v>0</v>
      </c>
      <c r="G5" s="5">
        <f t="shared" ref="G5:G27" si="1">SUM(C5:F5)</f>
        <v>1</v>
      </c>
      <c r="H5" s="8">
        <f t="shared" si="0"/>
        <v>1</v>
      </c>
    </row>
    <row r="6" spans="1:8">
      <c r="A6" s="5" t="str">
        <v>Gonzalez, Lucas</v>
      </c>
      <c r="B6" s="5">
        <f>COUNTIF('April Cleaned Data'!E:E,'Agent Breakdown'!A6)</f>
        <v>3</v>
      </c>
      <c r="C6" s="5">
        <f>COUNTIFS('April Cleaned Data'!$E:$E, $A6, 'April Cleaned Data'!$J:$J, "*"&amp;$C$1&amp;"*")</f>
        <v>1</v>
      </c>
      <c r="D6" s="5">
        <f>COUNTIFS('April Cleaned Data'!$E:$E, $A6, 'April Cleaned Data'!$J:$J, "*"&amp;$D$1&amp;"*")</f>
        <v>0</v>
      </c>
      <c r="E6" s="5">
        <f>COUNTIFS('April Cleaned Data'!$E:$E, $A6, 'April Cleaned Data'!$J:$J, "*"&amp;$E$1&amp;"*")</f>
        <v>1</v>
      </c>
      <c r="F6" s="5">
        <f>COUNTIFS('April Cleaned Data'!$E:$E, $A6, 'April Cleaned Data'!$J:$J, "*"&amp;$F$1&amp;"*")</f>
        <v>0</v>
      </c>
      <c r="G6" s="5">
        <f t="shared" si="1"/>
        <v>2</v>
      </c>
      <c r="H6" s="8">
        <f t="shared" si="0"/>
        <v>0.66666666666666663</v>
      </c>
    </row>
    <row r="7" spans="1:8">
      <c r="A7" s="5" t="str">
        <v>Hernandez, Amelia</v>
      </c>
      <c r="B7" s="5">
        <f>COUNTIF('April Cleaned Data'!E:E,'Agent Breakdown'!A7)</f>
        <v>1</v>
      </c>
      <c r="C7" s="5">
        <f>COUNTIFS('April Cleaned Data'!$E:$E, $A7, 'April Cleaned Data'!$J:$J, "*"&amp;$C$1&amp;"*")</f>
        <v>0</v>
      </c>
      <c r="D7" s="5">
        <f>COUNTIFS('April Cleaned Data'!$E:$E, $A7, 'April Cleaned Data'!$J:$J, "*"&amp;$D$1&amp;"*")</f>
        <v>0</v>
      </c>
      <c r="E7" s="5">
        <f>COUNTIFS('April Cleaned Data'!$E:$E, $A7, 'April Cleaned Data'!$J:$J, "*"&amp;$E$1&amp;"*")</f>
        <v>0</v>
      </c>
      <c r="F7" s="5">
        <f>COUNTIFS('April Cleaned Data'!$E:$E, $A7, 'April Cleaned Data'!$J:$J, "*"&amp;$F$1&amp;"*")</f>
        <v>0</v>
      </c>
      <c r="G7" s="5">
        <f t="shared" si="1"/>
        <v>0</v>
      </c>
      <c r="H7" s="8">
        <f t="shared" si="0"/>
        <v>0</v>
      </c>
    </row>
    <row r="8" spans="1:8">
      <c r="A8" s="5" t="str">
        <v>Hernandez, Benjamin</v>
      </c>
      <c r="B8" s="5">
        <f>COUNTIF('April Cleaned Data'!E:E,'Agent Breakdown'!A8)</f>
        <v>1</v>
      </c>
      <c r="C8" s="5">
        <f>COUNTIFS('April Cleaned Data'!$E:$E, $A8, 'April Cleaned Data'!$J:$J, "*"&amp;$C$1&amp;"*")</f>
        <v>0</v>
      </c>
      <c r="D8" s="5">
        <f>COUNTIFS('April Cleaned Data'!$E:$E, $A8, 'April Cleaned Data'!$J:$J, "*"&amp;$D$1&amp;"*")</f>
        <v>0</v>
      </c>
      <c r="E8" s="5">
        <f>COUNTIFS('April Cleaned Data'!$E:$E, $A8, 'April Cleaned Data'!$J:$J, "*"&amp;$E$1&amp;"*")</f>
        <v>0</v>
      </c>
      <c r="F8" s="5">
        <f>COUNTIFS('April Cleaned Data'!$E:$E, $A8, 'April Cleaned Data'!$J:$J, "*"&amp;$F$1&amp;"*")</f>
        <v>0</v>
      </c>
      <c r="G8" s="5">
        <f t="shared" si="1"/>
        <v>0</v>
      </c>
      <c r="H8" s="8">
        <f t="shared" si="0"/>
        <v>0</v>
      </c>
    </row>
    <row r="9" spans="1:8">
      <c r="A9" s="5" t="str">
        <v>Hernandez, James</v>
      </c>
      <c r="B9" s="5">
        <f>COUNTIF('April Cleaned Data'!E:E,'Agent Breakdown'!A9)</f>
        <v>1</v>
      </c>
      <c r="C9" s="5">
        <f>COUNTIFS('April Cleaned Data'!$E:$E, $A9, 'April Cleaned Data'!$J:$J, "*"&amp;$C$1&amp;"*")</f>
        <v>0</v>
      </c>
      <c r="D9" s="5">
        <f>COUNTIFS('April Cleaned Data'!$E:$E, $A9, 'April Cleaned Data'!$J:$J, "*"&amp;$D$1&amp;"*")</f>
        <v>0</v>
      </c>
      <c r="E9" s="5">
        <f>COUNTIFS('April Cleaned Data'!$E:$E, $A9, 'April Cleaned Data'!$J:$J, "*"&amp;$E$1&amp;"*")</f>
        <v>0</v>
      </c>
      <c r="F9" s="5">
        <f>COUNTIFS('April Cleaned Data'!$E:$E, $A9, 'April Cleaned Data'!$J:$J, "*"&amp;$F$1&amp;"*")</f>
        <v>0</v>
      </c>
      <c r="G9" s="5">
        <f t="shared" si="1"/>
        <v>0</v>
      </c>
      <c r="H9" s="8">
        <f t="shared" si="0"/>
        <v>0</v>
      </c>
    </row>
    <row r="10" spans="1:8">
      <c r="A10" s="5" t="str">
        <v>Jackson, Mason</v>
      </c>
      <c r="B10" s="5">
        <f>COUNTIF('April Cleaned Data'!E:E,'Agent Breakdown'!A10)</f>
        <v>2</v>
      </c>
      <c r="C10" s="5">
        <f>COUNTIFS('April Cleaned Data'!$E:$E, $A10, 'April Cleaned Data'!$J:$J, "*"&amp;$C$1&amp;"*")</f>
        <v>0</v>
      </c>
      <c r="D10" s="5">
        <f>COUNTIFS('April Cleaned Data'!$E:$E, $A10, 'April Cleaned Data'!$J:$J, "*"&amp;$D$1&amp;"*")</f>
        <v>0</v>
      </c>
      <c r="E10" s="5">
        <f>COUNTIFS('April Cleaned Data'!$E:$E, $A10, 'April Cleaned Data'!$J:$J, "*"&amp;$E$1&amp;"*")</f>
        <v>1</v>
      </c>
      <c r="F10" s="5">
        <f>COUNTIFS('April Cleaned Data'!$E:$E, $A10, 'April Cleaned Data'!$J:$J, "*"&amp;$F$1&amp;"*")</f>
        <v>0</v>
      </c>
      <c r="G10" s="5">
        <f t="shared" si="1"/>
        <v>1</v>
      </c>
      <c r="H10" s="8">
        <f t="shared" si="0"/>
        <v>0.5</v>
      </c>
    </row>
    <row r="11" spans="1:8">
      <c r="A11" s="5" t="str">
        <v>Johnson, Olivia</v>
      </c>
      <c r="B11" s="5">
        <f>COUNTIF('April Cleaned Data'!E:E,'Agent Breakdown'!A11)</f>
        <v>1</v>
      </c>
      <c r="C11" s="5">
        <f>COUNTIFS('April Cleaned Data'!$E:$E, $A11, 'April Cleaned Data'!$J:$J, "*"&amp;$C$1&amp;"*")</f>
        <v>0</v>
      </c>
      <c r="D11" s="5">
        <f>COUNTIFS('April Cleaned Data'!$E:$E, $A11, 'April Cleaned Data'!$J:$J, "*"&amp;$D$1&amp;"*")</f>
        <v>0</v>
      </c>
      <c r="E11" s="5">
        <f>COUNTIFS('April Cleaned Data'!$E:$E, $A11, 'April Cleaned Data'!$J:$J, "*"&amp;$E$1&amp;"*")</f>
        <v>0</v>
      </c>
      <c r="F11" s="5">
        <f>COUNTIFS('April Cleaned Data'!$E:$E, $A11, 'April Cleaned Data'!$J:$J, "*"&amp;$F$1&amp;"*")</f>
        <v>1</v>
      </c>
      <c r="G11" s="5">
        <f t="shared" si="1"/>
        <v>1</v>
      </c>
      <c r="H11" s="8">
        <f t="shared" si="0"/>
        <v>1</v>
      </c>
    </row>
    <row r="12" spans="1:8">
      <c r="A12" s="5" t="str">
        <v>Jones, Oliver</v>
      </c>
      <c r="B12" s="5">
        <f>COUNTIF('April Cleaned Data'!E:E,'Agent Breakdown'!A12)</f>
        <v>1</v>
      </c>
      <c r="C12" s="5">
        <f>COUNTIFS('April Cleaned Data'!$E:$E, $A12, 'April Cleaned Data'!$J:$J, "*"&amp;$C$1&amp;"*")</f>
        <v>1</v>
      </c>
      <c r="D12" s="5">
        <f>COUNTIFS('April Cleaned Data'!$E:$E, $A12, 'April Cleaned Data'!$J:$J, "*"&amp;$D$1&amp;"*")</f>
        <v>1</v>
      </c>
      <c r="E12" s="5">
        <f>COUNTIFS('April Cleaned Data'!$E:$E, $A12, 'April Cleaned Data'!$J:$J, "*"&amp;$E$1&amp;"*")</f>
        <v>0</v>
      </c>
      <c r="F12" s="5">
        <f>COUNTIFS('April Cleaned Data'!$E:$E, $A12, 'April Cleaned Data'!$J:$J, "*"&amp;$F$1&amp;"*")</f>
        <v>0</v>
      </c>
      <c r="G12" s="5">
        <f t="shared" si="1"/>
        <v>2</v>
      </c>
      <c r="H12" s="8">
        <f t="shared" si="0"/>
        <v>2</v>
      </c>
    </row>
    <row r="13" spans="1:8">
      <c r="A13" s="5" t="str">
        <v>Lee, Michael</v>
      </c>
      <c r="B13" s="5">
        <f>COUNTIF('April Cleaned Data'!E:E,'Agent Breakdown'!A13)</f>
        <v>3</v>
      </c>
      <c r="C13" s="5">
        <f>COUNTIFS('April Cleaned Data'!$E:$E, $A13, 'April Cleaned Data'!$J:$J, "*"&amp;$C$1&amp;"*")</f>
        <v>2</v>
      </c>
      <c r="D13" s="5">
        <f>COUNTIFS('April Cleaned Data'!$E:$E, $A13, 'April Cleaned Data'!$J:$J, "*"&amp;$D$1&amp;"*")</f>
        <v>0</v>
      </c>
      <c r="E13" s="5">
        <f>COUNTIFS('April Cleaned Data'!$E:$E, $A13, 'April Cleaned Data'!$J:$J, "*"&amp;$E$1&amp;"*")</f>
        <v>1</v>
      </c>
      <c r="F13" s="5">
        <f>COUNTIFS('April Cleaned Data'!$E:$E, $A13, 'April Cleaned Data'!$J:$J, "*"&amp;$F$1&amp;"*")</f>
        <v>1</v>
      </c>
      <c r="G13" s="5">
        <f t="shared" si="1"/>
        <v>4</v>
      </c>
      <c r="H13" s="8">
        <f t="shared" si="0"/>
        <v>1.3333333333333333</v>
      </c>
    </row>
    <row r="14" spans="1:8">
      <c r="A14" s="5" t="str">
        <v>Lee, Sophia</v>
      </c>
      <c r="B14" s="5">
        <f>COUNTIF('April Cleaned Data'!E:E,'Agent Breakdown'!A14)</f>
        <v>1</v>
      </c>
      <c r="C14" s="5">
        <f>COUNTIFS('April Cleaned Data'!$E:$E, $A14, 'April Cleaned Data'!$J:$J, "*"&amp;$C$1&amp;"*")</f>
        <v>1</v>
      </c>
      <c r="D14" s="5">
        <f>COUNTIFS('April Cleaned Data'!$E:$E, $A14, 'April Cleaned Data'!$J:$J, "*"&amp;$D$1&amp;"*")</f>
        <v>0</v>
      </c>
      <c r="E14" s="5">
        <f>COUNTIFS('April Cleaned Data'!$E:$E, $A14, 'April Cleaned Data'!$J:$J, "*"&amp;$E$1&amp;"*")</f>
        <v>0</v>
      </c>
      <c r="F14" s="5">
        <f>COUNTIFS('April Cleaned Data'!$E:$E, $A14, 'April Cleaned Data'!$J:$J, "*"&amp;$F$1&amp;"*")</f>
        <v>0</v>
      </c>
      <c r="G14" s="5">
        <f t="shared" si="1"/>
        <v>1</v>
      </c>
      <c r="H14" s="8">
        <f t="shared" si="0"/>
        <v>1</v>
      </c>
    </row>
    <row r="15" spans="1:8">
      <c r="A15" s="5" t="str">
        <v>Lopez, Isabella</v>
      </c>
      <c r="B15" s="5">
        <f>COUNTIF('April Cleaned Data'!E:E,'Agent Breakdown'!A15)</f>
        <v>3</v>
      </c>
      <c r="C15" s="5">
        <f>COUNTIFS('April Cleaned Data'!$E:$E, $A15, 'April Cleaned Data'!$J:$J, "*"&amp;$C$1&amp;"*")</f>
        <v>1</v>
      </c>
      <c r="D15" s="5">
        <f>COUNTIFS('April Cleaned Data'!$E:$E, $A15, 'April Cleaned Data'!$J:$J, "*"&amp;$D$1&amp;"*")</f>
        <v>1</v>
      </c>
      <c r="E15" s="5">
        <f>COUNTIFS('April Cleaned Data'!$E:$E, $A15, 'April Cleaned Data'!$J:$J, "*"&amp;$E$1&amp;"*")</f>
        <v>0</v>
      </c>
      <c r="F15" s="5">
        <f>COUNTIFS('April Cleaned Data'!$E:$E, $A15, 'April Cleaned Data'!$J:$J, "*"&amp;$F$1&amp;"*")</f>
        <v>1</v>
      </c>
      <c r="G15" s="5">
        <f t="shared" si="1"/>
        <v>3</v>
      </c>
      <c r="H15" s="8">
        <f t="shared" si="0"/>
        <v>1</v>
      </c>
    </row>
    <row r="16" spans="1:8">
      <c r="A16" s="5" t="str">
        <v>Martin, Camila</v>
      </c>
      <c r="B16" s="5">
        <f>COUNTIF('April Cleaned Data'!E:E,'Agent Breakdown'!A16)</f>
        <v>2</v>
      </c>
      <c r="C16" s="5">
        <f>COUNTIFS('April Cleaned Data'!$E:$E, $A16, 'April Cleaned Data'!$J:$J, "*"&amp;$C$1&amp;"*")</f>
        <v>0</v>
      </c>
      <c r="D16" s="5">
        <f>COUNTIFS('April Cleaned Data'!$E:$E, $A16, 'April Cleaned Data'!$J:$J, "*"&amp;$D$1&amp;"*")</f>
        <v>2</v>
      </c>
      <c r="E16" s="5">
        <f>COUNTIFS('April Cleaned Data'!$E:$E, $A16, 'April Cleaned Data'!$J:$J, "*"&amp;$E$1&amp;"*")</f>
        <v>0</v>
      </c>
      <c r="F16" s="5">
        <f>COUNTIFS('April Cleaned Data'!$E:$E, $A16, 'April Cleaned Data'!$J:$J, "*"&amp;$F$1&amp;"*")</f>
        <v>0</v>
      </c>
      <c r="G16" s="5">
        <f t="shared" si="1"/>
        <v>2</v>
      </c>
      <c r="H16" s="8">
        <f t="shared" si="0"/>
        <v>1</v>
      </c>
    </row>
    <row r="17" spans="1:8">
      <c r="A17" s="5" t="str">
        <v>Martinez, Bill</v>
      </c>
      <c r="B17" s="5">
        <f>COUNTIF('April Cleaned Data'!E:E,'Agent Breakdown'!A17)</f>
        <v>2</v>
      </c>
      <c r="C17" s="5">
        <f>COUNTIFS('April Cleaned Data'!$E:$E, $A17, 'April Cleaned Data'!$J:$J, "*"&amp;$C$1&amp;"*")</f>
        <v>0</v>
      </c>
      <c r="D17" s="5">
        <f>COUNTIFS('April Cleaned Data'!$E:$E, $A17, 'April Cleaned Data'!$J:$J, "*"&amp;$D$1&amp;"*")</f>
        <v>0</v>
      </c>
      <c r="E17" s="5">
        <f>COUNTIFS('April Cleaned Data'!$E:$E, $A17, 'April Cleaned Data'!$J:$J, "*"&amp;$E$1&amp;"*")</f>
        <v>0</v>
      </c>
      <c r="F17" s="5">
        <f>COUNTIFS('April Cleaned Data'!$E:$E, $A17, 'April Cleaned Data'!$J:$J, "*"&amp;$F$1&amp;"*")</f>
        <v>1</v>
      </c>
      <c r="G17" s="5">
        <f t="shared" si="1"/>
        <v>1</v>
      </c>
      <c r="H17" s="8">
        <f t="shared" si="0"/>
        <v>0.5</v>
      </c>
    </row>
    <row r="18" spans="1:8">
      <c r="A18" s="5" t="str">
        <v>Martinez, Sophia</v>
      </c>
      <c r="B18" s="5">
        <f>COUNTIF('April Cleaned Data'!E:E,'Agent Breakdown'!A18)</f>
        <v>3</v>
      </c>
      <c r="C18" s="5">
        <f>COUNTIFS('April Cleaned Data'!$E:$E, $A18, 'April Cleaned Data'!$J:$J, "*"&amp;$C$1&amp;"*")</f>
        <v>0</v>
      </c>
      <c r="D18" s="5">
        <f>COUNTIFS('April Cleaned Data'!$E:$E, $A18, 'April Cleaned Data'!$J:$J, "*"&amp;$D$1&amp;"*")</f>
        <v>1</v>
      </c>
      <c r="E18" s="5">
        <f>COUNTIFS('April Cleaned Data'!$E:$E, $A18, 'April Cleaned Data'!$J:$J, "*"&amp;$E$1&amp;"*")</f>
        <v>1</v>
      </c>
      <c r="F18" s="5">
        <f>COUNTIFS('April Cleaned Data'!$E:$E, $A18, 'April Cleaned Data'!$J:$J, "*"&amp;$F$1&amp;"*")</f>
        <v>1</v>
      </c>
      <c r="G18" s="5">
        <f t="shared" si="1"/>
        <v>3</v>
      </c>
      <c r="H18" s="8">
        <f t="shared" si="0"/>
        <v>1</v>
      </c>
    </row>
    <row r="19" spans="1:8">
      <c r="A19" s="5" t="str">
        <v>Miller, Elijah</v>
      </c>
      <c r="B19" s="5">
        <f>COUNTIF('April Cleaned Data'!E:E,'Agent Breakdown'!A19)</f>
        <v>4</v>
      </c>
      <c r="C19" s="5">
        <f>COUNTIFS('April Cleaned Data'!$E:$E, $A19, 'April Cleaned Data'!$J:$J, "*"&amp;$C$1&amp;"*")</f>
        <v>0</v>
      </c>
      <c r="D19" s="5">
        <f>COUNTIFS('April Cleaned Data'!$E:$E, $A19, 'April Cleaned Data'!$J:$J, "*"&amp;$D$1&amp;"*")</f>
        <v>1</v>
      </c>
      <c r="E19" s="5">
        <f>COUNTIFS('April Cleaned Data'!$E:$E, $A19, 'April Cleaned Data'!$J:$J, "*"&amp;$E$1&amp;"*")</f>
        <v>4</v>
      </c>
      <c r="F19" s="5">
        <f>COUNTIFS('April Cleaned Data'!$E:$E, $A19, 'April Cleaned Data'!$J:$J, "*"&amp;$F$1&amp;"*")</f>
        <v>0</v>
      </c>
      <c r="G19" s="5">
        <f t="shared" si="1"/>
        <v>5</v>
      </c>
      <c r="H19" s="8">
        <f t="shared" si="0"/>
        <v>1.25</v>
      </c>
    </row>
    <row r="20" spans="1:8">
      <c r="A20" s="5" t="str">
        <v>Moore, Harper</v>
      </c>
      <c r="B20" s="5">
        <f>COUNTIF('April Cleaned Data'!E:E,'Agent Breakdown'!A20)</f>
        <v>1</v>
      </c>
      <c r="C20" s="5">
        <f>COUNTIFS('April Cleaned Data'!$E:$E, $A20, 'April Cleaned Data'!$J:$J, "*"&amp;$C$1&amp;"*")</f>
        <v>0</v>
      </c>
      <c r="D20" s="5">
        <f>COUNTIFS('April Cleaned Data'!$E:$E, $A20, 'April Cleaned Data'!$J:$J, "*"&amp;$D$1&amp;"*")</f>
        <v>0</v>
      </c>
      <c r="E20" s="5">
        <f>COUNTIFS('April Cleaned Data'!$E:$E, $A20, 'April Cleaned Data'!$J:$J, "*"&amp;$E$1&amp;"*")</f>
        <v>0</v>
      </c>
      <c r="F20" s="5">
        <f>COUNTIFS('April Cleaned Data'!$E:$E, $A20, 'April Cleaned Data'!$J:$J, "*"&amp;$F$1&amp;"*")</f>
        <v>1</v>
      </c>
      <c r="G20" s="5">
        <f t="shared" si="1"/>
        <v>1</v>
      </c>
      <c r="H20" s="8">
        <f t="shared" si="0"/>
        <v>1</v>
      </c>
    </row>
    <row r="21" spans="1:8">
      <c r="A21" s="5" t="str">
        <v>Rodriguez, William</v>
      </c>
      <c r="B21" s="5">
        <f>COUNTIF('April Cleaned Data'!E:E,'Agent Breakdown'!A21)</f>
        <v>2</v>
      </c>
      <c r="C21" s="5">
        <f>COUNTIFS('April Cleaned Data'!$E:$E, $A21, 'April Cleaned Data'!$J:$J, "*"&amp;$C$1&amp;"*")</f>
        <v>1</v>
      </c>
      <c r="D21" s="5">
        <f>COUNTIFS('April Cleaned Data'!$E:$E, $A21, 'April Cleaned Data'!$J:$J, "*"&amp;$D$1&amp;"*")</f>
        <v>1</v>
      </c>
      <c r="E21" s="5">
        <f>COUNTIFS('April Cleaned Data'!$E:$E, $A21, 'April Cleaned Data'!$J:$J, "*"&amp;$E$1&amp;"*")</f>
        <v>1</v>
      </c>
      <c r="F21" s="5">
        <f>COUNTIFS('April Cleaned Data'!$E:$E, $A21, 'April Cleaned Data'!$J:$J, "*"&amp;$F$1&amp;"*")</f>
        <v>0</v>
      </c>
      <c r="G21" s="5">
        <f t="shared" si="1"/>
        <v>3</v>
      </c>
      <c r="H21" s="8">
        <f t="shared" si="0"/>
        <v>1.5</v>
      </c>
    </row>
    <row r="22" spans="1:8">
      <c r="A22" s="5" t="str">
        <v>Smith, Liam</v>
      </c>
      <c r="B22" s="5">
        <f>COUNTIF('April Cleaned Data'!E:E,'Agent Breakdown'!A22)</f>
        <v>2</v>
      </c>
      <c r="C22" s="5">
        <f>COUNTIFS('April Cleaned Data'!$E:$E, $A22, 'April Cleaned Data'!$J:$J, "*"&amp;$C$1&amp;"*")</f>
        <v>0</v>
      </c>
      <c r="D22" s="5">
        <f>COUNTIFS('April Cleaned Data'!$E:$E, $A22, 'April Cleaned Data'!$J:$J, "*"&amp;$D$1&amp;"*")</f>
        <v>0</v>
      </c>
      <c r="E22" s="5">
        <f>COUNTIFS('April Cleaned Data'!$E:$E, $A22, 'April Cleaned Data'!$J:$J, "*"&amp;$E$1&amp;"*")</f>
        <v>1</v>
      </c>
      <c r="F22" s="5">
        <f>COUNTIFS('April Cleaned Data'!$E:$E, $A22, 'April Cleaned Data'!$J:$J, "*"&amp;$F$1&amp;"*")</f>
        <v>0</v>
      </c>
      <c r="G22" s="5">
        <f t="shared" si="1"/>
        <v>1</v>
      </c>
      <c r="H22" s="8">
        <f t="shared" si="0"/>
        <v>0.5</v>
      </c>
    </row>
    <row r="23" spans="1:8">
      <c r="A23" s="5" t="str">
        <v>Taylor, Alexander</v>
      </c>
      <c r="B23" s="5">
        <f>COUNTIF('April Cleaned Data'!E:E,'Agent Breakdown'!A23)</f>
        <v>1</v>
      </c>
      <c r="C23" s="5">
        <f>COUNTIFS('April Cleaned Data'!$E:$E, $A23, 'April Cleaned Data'!$J:$J, "*"&amp;$C$1&amp;"*")</f>
        <v>0</v>
      </c>
      <c r="D23" s="5">
        <f>COUNTIFS('April Cleaned Data'!$E:$E, $A23, 'April Cleaned Data'!$J:$J, "*"&amp;$D$1&amp;"*")</f>
        <v>0</v>
      </c>
      <c r="E23" s="5">
        <f>COUNTIFS('April Cleaned Data'!$E:$E, $A23, 'April Cleaned Data'!$J:$J, "*"&amp;$E$1&amp;"*")</f>
        <v>0</v>
      </c>
      <c r="F23" s="5">
        <f>COUNTIFS('April Cleaned Data'!$E:$E, $A23, 'April Cleaned Data'!$J:$J, "*"&amp;$F$1&amp;"*")</f>
        <v>0</v>
      </c>
      <c r="G23" s="5">
        <f t="shared" si="1"/>
        <v>0</v>
      </c>
      <c r="H23" s="8">
        <f t="shared" si="0"/>
        <v>0</v>
      </c>
    </row>
    <row r="24" spans="1:8">
      <c r="A24" s="5" t="str">
        <v>Thomas, Evelyn</v>
      </c>
      <c r="B24" s="5">
        <f>COUNTIF('April Cleaned Data'!E:E,'Agent Breakdown'!A24)</f>
        <v>2</v>
      </c>
      <c r="C24" s="5">
        <f>COUNTIFS('April Cleaned Data'!$E:$E, $A24, 'April Cleaned Data'!$J:$J, "*"&amp;$C$1&amp;"*")</f>
        <v>1</v>
      </c>
      <c r="D24" s="5">
        <f>COUNTIFS('April Cleaned Data'!$E:$E, $A24, 'April Cleaned Data'!$J:$J, "*"&amp;$D$1&amp;"*")</f>
        <v>0</v>
      </c>
      <c r="E24" s="5">
        <f>COUNTIFS('April Cleaned Data'!$E:$E, $A24, 'April Cleaned Data'!$J:$J, "*"&amp;$E$1&amp;"*")</f>
        <v>0</v>
      </c>
      <c r="F24" s="5">
        <f>COUNTIFS('April Cleaned Data'!$E:$E, $A24, 'April Cleaned Data'!$J:$J, "*"&amp;$F$1&amp;"*")</f>
        <v>1</v>
      </c>
      <c r="G24" s="5">
        <f t="shared" si="1"/>
        <v>2</v>
      </c>
      <c r="H24" s="8">
        <f t="shared" si="0"/>
        <v>1</v>
      </c>
    </row>
    <row r="25" spans="1:8">
      <c r="A25" s="5" t="str">
        <v>Williams, Noah</v>
      </c>
      <c r="B25" s="5">
        <f>COUNTIF('April Cleaned Data'!E:E,'Agent Breakdown'!A25)</f>
        <v>2</v>
      </c>
      <c r="C25" s="5">
        <f>COUNTIFS('April Cleaned Data'!$E:$E, $A25, 'April Cleaned Data'!$J:$J, "*"&amp;$C$1&amp;"*")</f>
        <v>0</v>
      </c>
      <c r="D25" s="5">
        <f>COUNTIFS('April Cleaned Data'!$E:$E, $A25, 'April Cleaned Data'!$J:$J, "*"&amp;$D$1&amp;"*")</f>
        <v>1</v>
      </c>
      <c r="E25" s="5">
        <f>COUNTIFS('April Cleaned Data'!$E:$E, $A25, 'April Cleaned Data'!$J:$J, "*"&amp;$E$1&amp;"*")</f>
        <v>0</v>
      </c>
      <c r="F25" s="5">
        <f>COUNTIFS('April Cleaned Data'!$E:$E, $A25, 'April Cleaned Data'!$J:$J, "*"&amp;$F$1&amp;"*")</f>
        <v>0</v>
      </c>
      <c r="G25" s="5">
        <f t="shared" si="1"/>
        <v>1</v>
      </c>
      <c r="H25" s="8">
        <f t="shared" si="0"/>
        <v>0.5</v>
      </c>
    </row>
    <row r="26" spans="1:8">
      <c r="A26" s="5" t="str">
        <v>Wilson, Mia</v>
      </c>
      <c r="B26" s="5">
        <f>COUNTIF('April Cleaned Data'!E:E,'Agent Breakdown'!A26)</f>
        <v>1</v>
      </c>
      <c r="C26" s="5">
        <f>COUNTIFS('April Cleaned Data'!$E:$E, $A26, 'April Cleaned Data'!$J:$J, "*"&amp;$C$1&amp;"*")</f>
        <v>0</v>
      </c>
      <c r="D26" s="5">
        <f>COUNTIFS('April Cleaned Data'!$E:$E, $A26, 'April Cleaned Data'!$J:$J, "*"&amp;$D$1&amp;"*")</f>
        <v>0</v>
      </c>
      <c r="E26" s="5">
        <f>COUNTIFS('April Cleaned Data'!$E:$E, $A26, 'April Cleaned Data'!$J:$J, "*"&amp;$E$1&amp;"*")</f>
        <v>1</v>
      </c>
      <c r="F26" s="5">
        <f>COUNTIFS('April Cleaned Data'!$E:$E, $A26, 'April Cleaned Data'!$J:$J, "*"&amp;$F$1&amp;"*")</f>
        <v>0</v>
      </c>
      <c r="G26" s="5">
        <f t="shared" si="1"/>
        <v>1</v>
      </c>
      <c r="H26" s="8">
        <f t="shared" si="0"/>
        <v>1</v>
      </c>
    </row>
    <row r="27" spans="1:8">
      <c r="B27">
        <f>COUNTIF('April Cleaned Data'!E:E,'Agent Breakdown'!A27)</f>
        <v>0</v>
      </c>
      <c r="C27">
        <f>COUNTIFS('April Cleaned Data'!$E:$E, $A27, 'April Cleaned Data'!$J:$J, "*"&amp;$C$1&amp;"*")</f>
        <v>0</v>
      </c>
      <c r="D27">
        <f>COUNTIFS('April Cleaned Data'!$E:$E, $A27, 'April Cleaned Data'!$J:$J, "*"&amp;$D$1&amp;"*")</f>
        <v>0</v>
      </c>
      <c r="E27">
        <f>COUNTIFS('April Cleaned Data'!$E:$E, $A27, 'April Cleaned Data'!$J:$J, "*"&amp;$E$1&amp;"*")</f>
        <v>0</v>
      </c>
      <c r="F27">
        <f>COUNTIFS('April Cleaned Data'!$E:$E, $A27, 'April Cleaned Data'!$J:$J, "*"&amp;$F$1&amp;"*")</f>
        <v>0</v>
      </c>
      <c r="G27">
        <f t="shared" si="1"/>
        <v>0</v>
      </c>
      <c r="H27" s="4">
        <f t="shared" si="0"/>
        <v>0</v>
      </c>
    </row>
    <row r="28" spans="1:8">
      <c r="B28">
        <f>COUNTIF('April Cleaned Data'!E:E,'Agent Breakdown'!A28)</f>
        <v>0</v>
      </c>
      <c r="C28">
        <f>COUNTIFS('April Cleaned Data'!$E:$E, $A28, 'April Cleaned Data'!$J:$J, "*"&amp;$C$1&amp;"*")</f>
        <v>0</v>
      </c>
      <c r="D28">
        <f>COUNTIFS('April Cleaned Data'!$E:$E, $A28, 'April Cleaned Data'!$J:$J, "*"&amp;$D$1&amp;"*")</f>
        <v>0</v>
      </c>
      <c r="E28">
        <f>COUNTIFS('April Cleaned Data'!$E:$E, $A28, 'April Cleaned Data'!$J:$J, "*"&amp;$E$1&amp;"*")</f>
        <v>0</v>
      </c>
      <c r="F28">
        <f>COUNTIFS('April Cleaned Data'!$E:$E, $A28, 'April Cleaned Data'!$J:$J, "*"&amp;$F$1&amp;"*")</f>
        <v>0</v>
      </c>
      <c r="G28">
        <f t="shared" ref="G28:G50" si="2">SUM(C28:F28)</f>
        <v>0</v>
      </c>
      <c r="H28" s="4">
        <f t="shared" si="0"/>
        <v>0</v>
      </c>
    </row>
    <row r="29" spans="1:8">
      <c r="B29">
        <f>COUNTIF('April Cleaned Data'!E:E,'Agent Breakdown'!A29)</f>
        <v>0</v>
      </c>
      <c r="C29">
        <f>COUNTIFS('April Cleaned Data'!$E:$E, $A29, 'April Cleaned Data'!$J:$J, "*"&amp;$C$1&amp;"*")</f>
        <v>0</v>
      </c>
      <c r="D29">
        <f>COUNTIFS('April Cleaned Data'!$E:$E, $A29, 'April Cleaned Data'!$J:$J, "*"&amp;$D$1&amp;"*")</f>
        <v>0</v>
      </c>
      <c r="E29">
        <f>COUNTIFS('April Cleaned Data'!$E:$E, $A29, 'April Cleaned Data'!$J:$J, "*"&amp;$E$1&amp;"*")</f>
        <v>0</v>
      </c>
      <c r="F29">
        <f>COUNTIFS('April Cleaned Data'!$E:$E, $A29, 'April Cleaned Data'!$J:$J, "*"&amp;$F$1&amp;"*")</f>
        <v>0</v>
      </c>
      <c r="G29">
        <f t="shared" si="2"/>
        <v>0</v>
      </c>
      <c r="H29" s="4">
        <f t="shared" si="0"/>
        <v>0</v>
      </c>
    </row>
    <row r="30" spans="1:8">
      <c r="B30">
        <f>COUNTIF('April Cleaned Data'!E:E,'Agent Breakdown'!A30)</f>
        <v>0</v>
      </c>
      <c r="C30">
        <f>COUNTIFS('April Cleaned Data'!$E:$E, $A30, 'April Cleaned Data'!$J:$J, "*"&amp;$C$1&amp;"*")</f>
        <v>0</v>
      </c>
      <c r="D30">
        <f>COUNTIFS('April Cleaned Data'!$E:$E, $A30, 'April Cleaned Data'!$J:$J, "*"&amp;$D$1&amp;"*")</f>
        <v>0</v>
      </c>
      <c r="E30">
        <f>COUNTIFS('April Cleaned Data'!$E:$E, $A30, 'April Cleaned Data'!$J:$J, "*"&amp;$E$1&amp;"*")</f>
        <v>0</v>
      </c>
      <c r="F30">
        <f>COUNTIFS('April Cleaned Data'!$E:$E, $A30, 'April Cleaned Data'!$J:$J, "*"&amp;$F$1&amp;"*")</f>
        <v>0</v>
      </c>
      <c r="G30">
        <f t="shared" si="2"/>
        <v>0</v>
      </c>
      <c r="H30" s="4">
        <f t="shared" si="0"/>
        <v>0</v>
      </c>
    </row>
    <row r="31" spans="1:8">
      <c r="B31">
        <f>COUNTIF('April Cleaned Data'!E:E,'Agent Breakdown'!A31)</f>
        <v>0</v>
      </c>
      <c r="C31">
        <f>COUNTIFS('April Cleaned Data'!$E:$E, $A31, 'April Cleaned Data'!$J:$J, "*"&amp;$C$1&amp;"*")</f>
        <v>0</v>
      </c>
      <c r="D31">
        <f>COUNTIFS('April Cleaned Data'!$E:$E, $A31, 'April Cleaned Data'!$J:$J, "*"&amp;$D$1&amp;"*")</f>
        <v>0</v>
      </c>
      <c r="E31">
        <f>COUNTIFS('April Cleaned Data'!$E:$E, $A31, 'April Cleaned Data'!$J:$J, "*"&amp;$E$1&amp;"*")</f>
        <v>0</v>
      </c>
      <c r="F31">
        <f>COUNTIFS('April Cleaned Data'!$E:$E, $A31, 'April Cleaned Data'!$J:$J, "*"&amp;$F$1&amp;"*")</f>
        <v>0</v>
      </c>
      <c r="G31">
        <f t="shared" si="2"/>
        <v>0</v>
      </c>
      <c r="H31" s="4">
        <f t="shared" si="0"/>
        <v>0</v>
      </c>
    </row>
    <row r="32" spans="1:8">
      <c r="B32">
        <f>COUNTIF('April Cleaned Data'!E:E,'Agent Breakdown'!A32)</f>
        <v>0</v>
      </c>
      <c r="C32">
        <f>COUNTIFS('April Cleaned Data'!$E:$E, $A32, 'April Cleaned Data'!$J:$J, "*"&amp;$C$1&amp;"*")</f>
        <v>0</v>
      </c>
      <c r="D32">
        <f>COUNTIFS('April Cleaned Data'!$E:$E, $A32, 'April Cleaned Data'!$J:$J, "*"&amp;$D$1&amp;"*")</f>
        <v>0</v>
      </c>
      <c r="E32">
        <f>COUNTIFS('April Cleaned Data'!$E:$E, $A32, 'April Cleaned Data'!$J:$J, "*"&amp;$E$1&amp;"*")</f>
        <v>0</v>
      </c>
      <c r="F32">
        <f>COUNTIFS('April Cleaned Data'!$E:$E, $A32, 'April Cleaned Data'!$J:$J, "*"&amp;$F$1&amp;"*")</f>
        <v>0</v>
      </c>
      <c r="G32">
        <f t="shared" si="2"/>
        <v>0</v>
      </c>
      <c r="H32" s="4">
        <f t="shared" si="0"/>
        <v>0</v>
      </c>
    </row>
    <row r="33" spans="2:8">
      <c r="B33">
        <f>COUNTIF('April Cleaned Data'!E:E,'Agent Breakdown'!A33)</f>
        <v>0</v>
      </c>
      <c r="C33">
        <f>COUNTIFS('April Cleaned Data'!$E:$E, $A33, 'April Cleaned Data'!$J:$J, "*"&amp;$C$1&amp;"*")</f>
        <v>0</v>
      </c>
      <c r="D33">
        <f>COUNTIFS('April Cleaned Data'!$E:$E, $A33, 'April Cleaned Data'!$J:$J, "*"&amp;$D$1&amp;"*")</f>
        <v>0</v>
      </c>
      <c r="E33">
        <f>COUNTIFS('April Cleaned Data'!$E:$E, $A33, 'April Cleaned Data'!$J:$J, "*"&amp;$E$1&amp;"*")</f>
        <v>0</v>
      </c>
      <c r="F33">
        <f>COUNTIFS('April Cleaned Data'!$E:$E, $A33, 'April Cleaned Data'!$J:$J, "*"&amp;$F$1&amp;"*")</f>
        <v>0</v>
      </c>
      <c r="G33">
        <f t="shared" si="2"/>
        <v>0</v>
      </c>
      <c r="H33" s="4">
        <f t="shared" si="0"/>
        <v>0</v>
      </c>
    </row>
    <row r="34" spans="2:8">
      <c r="B34">
        <f>COUNTIF('April Cleaned Data'!E:E,'Agent Breakdown'!A34)</f>
        <v>0</v>
      </c>
      <c r="C34">
        <f>COUNTIFS('April Cleaned Data'!$E:$E, $A34, 'April Cleaned Data'!$J:$J, "*"&amp;$C$1&amp;"*")</f>
        <v>0</v>
      </c>
      <c r="D34">
        <f>COUNTIFS('April Cleaned Data'!$E:$E, $A34, 'April Cleaned Data'!$J:$J, "*"&amp;$D$1&amp;"*")</f>
        <v>0</v>
      </c>
      <c r="E34">
        <f>COUNTIFS('April Cleaned Data'!$E:$E, $A34, 'April Cleaned Data'!$J:$J, "*"&amp;$E$1&amp;"*")</f>
        <v>0</v>
      </c>
      <c r="F34">
        <f>COUNTIFS('April Cleaned Data'!$E:$E, $A34, 'April Cleaned Data'!$J:$J, "*"&amp;$F$1&amp;"*")</f>
        <v>0</v>
      </c>
      <c r="G34">
        <f t="shared" si="2"/>
        <v>0</v>
      </c>
      <c r="H34" s="4">
        <f t="shared" si="0"/>
        <v>0</v>
      </c>
    </row>
    <row r="35" spans="2:8">
      <c r="B35">
        <f>COUNTIF('April Cleaned Data'!E:E,'Agent Breakdown'!A35)</f>
        <v>0</v>
      </c>
      <c r="C35">
        <f>COUNTIFS('April Cleaned Data'!$E:$E, $A35, 'April Cleaned Data'!$J:$J, "*"&amp;$C$1&amp;"*")</f>
        <v>0</v>
      </c>
      <c r="D35">
        <f>COUNTIFS('April Cleaned Data'!$E:$E, $A35, 'April Cleaned Data'!$J:$J, "*"&amp;$D$1&amp;"*")</f>
        <v>0</v>
      </c>
      <c r="E35">
        <f>COUNTIFS('April Cleaned Data'!$E:$E, $A35, 'April Cleaned Data'!$J:$J, "*"&amp;$E$1&amp;"*")</f>
        <v>0</v>
      </c>
      <c r="F35">
        <f>COUNTIFS('April Cleaned Data'!$E:$E, $A35, 'April Cleaned Data'!$J:$J, "*"&amp;$F$1&amp;"*")</f>
        <v>0</v>
      </c>
      <c r="G35">
        <f t="shared" si="2"/>
        <v>0</v>
      </c>
      <c r="H35" s="4">
        <f t="shared" si="0"/>
        <v>0</v>
      </c>
    </row>
    <row r="36" spans="2:8">
      <c r="B36">
        <f>COUNTIF('April Cleaned Data'!E:E,'Agent Breakdown'!A36)</f>
        <v>0</v>
      </c>
      <c r="C36">
        <f>COUNTIFS('April Cleaned Data'!$E:$E, $A36, 'April Cleaned Data'!$J:$J, "*"&amp;$C$1&amp;"*")</f>
        <v>0</v>
      </c>
      <c r="D36">
        <f>COUNTIFS('April Cleaned Data'!$E:$E, $A36, 'April Cleaned Data'!$J:$J, "*"&amp;$D$1&amp;"*")</f>
        <v>0</v>
      </c>
      <c r="E36">
        <f>COUNTIFS('April Cleaned Data'!$E:$E, $A36, 'April Cleaned Data'!$J:$J, "*"&amp;$E$1&amp;"*")</f>
        <v>0</v>
      </c>
      <c r="F36">
        <f>COUNTIFS('April Cleaned Data'!$E:$E, $A36, 'April Cleaned Data'!$J:$J, "*"&amp;$F$1&amp;"*")</f>
        <v>0</v>
      </c>
      <c r="G36">
        <f t="shared" si="2"/>
        <v>0</v>
      </c>
      <c r="H36" s="4">
        <f t="shared" si="0"/>
        <v>0</v>
      </c>
    </row>
    <row r="37" spans="2:8">
      <c r="B37">
        <f>COUNTIF('April Cleaned Data'!E:E,'Agent Breakdown'!A37)</f>
        <v>0</v>
      </c>
      <c r="C37">
        <f>COUNTIFS('April Cleaned Data'!$E:$E, $A37, 'April Cleaned Data'!$J:$J, "*"&amp;$C$1&amp;"*")</f>
        <v>0</v>
      </c>
      <c r="D37">
        <f>COUNTIFS('April Cleaned Data'!$E:$E, $A37, 'April Cleaned Data'!$J:$J, "*"&amp;$D$1&amp;"*")</f>
        <v>0</v>
      </c>
      <c r="E37">
        <f>COUNTIFS('April Cleaned Data'!$E:$E, $A37, 'April Cleaned Data'!$J:$J, "*"&amp;$E$1&amp;"*")</f>
        <v>0</v>
      </c>
      <c r="F37">
        <f>COUNTIFS('April Cleaned Data'!$E:$E, $A37, 'April Cleaned Data'!$J:$J, "*"&amp;$F$1&amp;"*")</f>
        <v>0</v>
      </c>
      <c r="G37">
        <f t="shared" si="2"/>
        <v>0</v>
      </c>
      <c r="H37" s="4">
        <f t="shared" si="0"/>
        <v>0</v>
      </c>
    </row>
    <row r="38" spans="2:8">
      <c r="B38">
        <f>COUNTIF('April Cleaned Data'!E:E,'Agent Breakdown'!A38)</f>
        <v>0</v>
      </c>
      <c r="C38">
        <f>COUNTIFS('April Cleaned Data'!$E:$E, $A38, 'April Cleaned Data'!$J:$J, "*"&amp;$C$1&amp;"*")</f>
        <v>0</v>
      </c>
      <c r="D38">
        <f>COUNTIFS('April Cleaned Data'!$E:$E, $A38, 'April Cleaned Data'!$J:$J, "*"&amp;$D$1&amp;"*")</f>
        <v>0</v>
      </c>
      <c r="E38">
        <f>COUNTIFS('April Cleaned Data'!$E:$E, $A38, 'April Cleaned Data'!$J:$J, "*"&amp;$E$1&amp;"*")</f>
        <v>0</v>
      </c>
      <c r="F38">
        <f>COUNTIFS('April Cleaned Data'!$E:$E, $A38, 'April Cleaned Data'!$J:$J, "*"&amp;$F$1&amp;"*")</f>
        <v>0</v>
      </c>
      <c r="G38">
        <f t="shared" si="2"/>
        <v>0</v>
      </c>
      <c r="H38" s="4">
        <f t="shared" si="0"/>
        <v>0</v>
      </c>
    </row>
    <row r="39" spans="2:8">
      <c r="B39">
        <f>COUNTIF('April Cleaned Data'!E:E,'Agent Breakdown'!A39)</f>
        <v>0</v>
      </c>
      <c r="C39">
        <f>COUNTIFS('April Cleaned Data'!$E:$E, $A39, 'April Cleaned Data'!$J:$J, "*"&amp;$C$1&amp;"*")</f>
        <v>0</v>
      </c>
      <c r="D39">
        <f>COUNTIFS('April Cleaned Data'!$E:$E, $A39, 'April Cleaned Data'!$J:$J, "*"&amp;$D$1&amp;"*")</f>
        <v>0</v>
      </c>
      <c r="E39">
        <f>COUNTIFS('April Cleaned Data'!$E:$E, $A39, 'April Cleaned Data'!$J:$J, "*"&amp;$E$1&amp;"*")</f>
        <v>0</v>
      </c>
      <c r="F39">
        <f>COUNTIFS('April Cleaned Data'!$E:$E, $A39, 'April Cleaned Data'!$J:$J, "*"&amp;$F$1&amp;"*")</f>
        <v>0</v>
      </c>
      <c r="G39">
        <f t="shared" si="2"/>
        <v>0</v>
      </c>
      <c r="H39" s="4">
        <f t="shared" si="0"/>
        <v>0</v>
      </c>
    </row>
    <row r="40" spans="2:8">
      <c r="B40">
        <f>COUNTIF('April Cleaned Data'!E:E,'Agent Breakdown'!A40)</f>
        <v>0</v>
      </c>
      <c r="C40">
        <f>COUNTIFS('April Cleaned Data'!$E:$E, $A40, 'April Cleaned Data'!$J:$J, "*"&amp;$C$1&amp;"*")</f>
        <v>0</v>
      </c>
      <c r="D40">
        <f>COUNTIFS('April Cleaned Data'!$E:$E, $A40, 'April Cleaned Data'!$J:$J, "*"&amp;$D$1&amp;"*")</f>
        <v>0</v>
      </c>
      <c r="E40">
        <f>COUNTIFS('April Cleaned Data'!$E:$E, $A40, 'April Cleaned Data'!$J:$J, "*"&amp;$E$1&amp;"*")</f>
        <v>0</v>
      </c>
      <c r="F40">
        <f>COUNTIFS('April Cleaned Data'!$E:$E, $A40, 'April Cleaned Data'!$J:$J, "*"&amp;$F$1&amp;"*")</f>
        <v>0</v>
      </c>
      <c r="G40">
        <f t="shared" si="2"/>
        <v>0</v>
      </c>
      <c r="H40" s="4">
        <f t="shared" si="0"/>
        <v>0</v>
      </c>
    </row>
    <row r="41" spans="2:8">
      <c r="B41">
        <f>COUNTIF('April Cleaned Data'!E:E,'Agent Breakdown'!A41)</f>
        <v>0</v>
      </c>
      <c r="C41">
        <f>COUNTIFS('April Cleaned Data'!$E:$E, $A41, 'April Cleaned Data'!$J:$J, "*"&amp;$C$1&amp;"*")</f>
        <v>0</v>
      </c>
      <c r="D41">
        <f>COUNTIFS('April Cleaned Data'!$E:$E, $A41, 'April Cleaned Data'!$J:$J, "*"&amp;$D$1&amp;"*")</f>
        <v>0</v>
      </c>
      <c r="E41">
        <f>COUNTIFS('April Cleaned Data'!$E:$E, $A41, 'April Cleaned Data'!$J:$J, "*"&amp;$E$1&amp;"*")</f>
        <v>0</v>
      </c>
      <c r="F41">
        <f>COUNTIFS('April Cleaned Data'!$E:$E, $A41, 'April Cleaned Data'!$J:$J, "*"&amp;$F$1&amp;"*")</f>
        <v>0</v>
      </c>
      <c r="G41">
        <f t="shared" si="2"/>
        <v>0</v>
      </c>
      <c r="H41" s="4">
        <f t="shared" si="0"/>
        <v>0</v>
      </c>
    </row>
    <row r="42" spans="2:8">
      <c r="B42">
        <f>COUNTIF('April Cleaned Data'!E:E,'Agent Breakdown'!A42)</f>
        <v>0</v>
      </c>
      <c r="C42">
        <f>COUNTIFS('April Cleaned Data'!$E:$E, $A42, 'April Cleaned Data'!$J:$J, "*"&amp;$C$1&amp;"*")</f>
        <v>0</v>
      </c>
      <c r="D42">
        <f>COUNTIFS('April Cleaned Data'!$E:$E, $A42, 'April Cleaned Data'!$J:$J, "*"&amp;$D$1&amp;"*")</f>
        <v>0</v>
      </c>
      <c r="E42">
        <f>COUNTIFS('April Cleaned Data'!$E:$E, $A42, 'April Cleaned Data'!$J:$J, "*"&amp;$E$1&amp;"*")</f>
        <v>0</v>
      </c>
      <c r="F42">
        <f>COUNTIFS('April Cleaned Data'!$E:$E, $A42, 'April Cleaned Data'!$J:$J, "*"&amp;$F$1&amp;"*")</f>
        <v>0</v>
      </c>
      <c r="G42">
        <f t="shared" si="2"/>
        <v>0</v>
      </c>
      <c r="H42" s="4">
        <f t="shared" si="0"/>
        <v>0</v>
      </c>
    </row>
    <row r="43" spans="2:8">
      <c r="B43">
        <f>COUNTIF('April Cleaned Data'!E:E,'Agent Breakdown'!A43)</f>
        <v>0</v>
      </c>
      <c r="C43">
        <f>COUNTIFS('April Cleaned Data'!$E:$E, $A43, 'April Cleaned Data'!$J:$J, "*"&amp;$C$1&amp;"*")</f>
        <v>0</v>
      </c>
      <c r="D43">
        <f>COUNTIFS('April Cleaned Data'!$E:$E, $A43, 'April Cleaned Data'!$J:$J, "*"&amp;$D$1&amp;"*")</f>
        <v>0</v>
      </c>
      <c r="E43">
        <f>COUNTIFS('April Cleaned Data'!$E:$E, $A43, 'April Cleaned Data'!$J:$J, "*"&amp;$E$1&amp;"*")</f>
        <v>0</v>
      </c>
      <c r="F43">
        <f>COUNTIFS('April Cleaned Data'!$E:$E, $A43, 'April Cleaned Data'!$J:$J, "*"&amp;$F$1&amp;"*")</f>
        <v>0</v>
      </c>
      <c r="G43">
        <f t="shared" si="2"/>
        <v>0</v>
      </c>
      <c r="H43" s="4">
        <f t="shared" si="0"/>
        <v>0</v>
      </c>
    </row>
    <row r="44" spans="2:8">
      <c r="B44">
        <f>COUNTIF('April Cleaned Data'!E:E,'Agent Breakdown'!A44)</f>
        <v>0</v>
      </c>
      <c r="C44">
        <f>COUNTIFS('April Cleaned Data'!$E:$E, $A44, 'April Cleaned Data'!$J:$J, "*"&amp;$C$1&amp;"*")</f>
        <v>0</v>
      </c>
      <c r="D44">
        <f>COUNTIFS('April Cleaned Data'!$E:$E, $A44, 'April Cleaned Data'!$J:$J, "*"&amp;$D$1&amp;"*")</f>
        <v>0</v>
      </c>
      <c r="E44">
        <f>COUNTIFS('April Cleaned Data'!$E:$E, $A44, 'April Cleaned Data'!$J:$J, "*"&amp;$E$1&amp;"*")</f>
        <v>0</v>
      </c>
      <c r="F44">
        <f>COUNTIFS('April Cleaned Data'!$E:$E, $A44, 'April Cleaned Data'!$J:$J, "*"&amp;$F$1&amp;"*")</f>
        <v>0</v>
      </c>
      <c r="G44">
        <f t="shared" si="2"/>
        <v>0</v>
      </c>
      <c r="H44" s="4">
        <f t="shared" si="0"/>
        <v>0</v>
      </c>
    </row>
    <row r="45" spans="2:8">
      <c r="B45">
        <f>COUNTIF('April Cleaned Data'!E:E,'Agent Breakdown'!A45)</f>
        <v>0</v>
      </c>
      <c r="C45">
        <f>COUNTIFS('April Cleaned Data'!$E:$E, $A45, 'April Cleaned Data'!$J:$J, "*"&amp;$C$1&amp;"*")</f>
        <v>0</v>
      </c>
      <c r="D45">
        <f>COUNTIFS('April Cleaned Data'!$E:$E, $A45, 'April Cleaned Data'!$J:$J, "*"&amp;$D$1&amp;"*")</f>
        <v>0</v>
      </c>
      <c r="E45">
        <f>COUNTIFS('April Cleaned Data'!$E:$E, $A45, 'April Cleaned Data'!$J:$J, "*"&amp;$E$1&amp;"*")</f>
        <v>0</v>
      </c>
      <c r="F45">
        <f>COUNTIFS('April Cleaned Data'!$E:$E, $A45, 'April Cleaned Data'!$J:$J, "*"&amp;$F$1&amp;"*")</f>
        <v>0</v>
      </c>
      <c r="G45">
        <f t="shared" si="2"/>
        <v>0</v>
      </c>
      <c r="H45" s="4">
        <f t="shared" si="0"/>
        <v>0</v>
      </c>
    </row>
    <row r="46" spans="2:8">
      <c r="B46">
        <f>COUNTIF('April Cleaned Data'!E:E,'Agent Breakdown'!A46)</f>
        <v>0</v>
      </c>
      <c r="C46">
        <f>COUNTIFS('April Cleaned Data'!$E:$E, $A46, 'April Cleaned Data'!$J:$J, "*"&amp;$C$1&amp;"*")</f>
        <v>0</v>
      </c>
      <c r="D46">
        <f>COUNTIFS('April Cleaned Data'!$E:$E, $A46, 'April Cleaned Data'!$J:$J, "*"&amp;$D$1&amp;"*")</f>
        <v>0</v>
      </c>
      <c r="E46">
        <f>COUNTIFS('April Cleaned Data'!$E:$E, $A46, 'April Cleaned Data'!$J:$J, "*"&amp;$E$1&amp;"*")</f>
        <v>0</v>
      </c>
      <c r="F46">
        <f>COUNTIFS('April Cleaned Data'!$E:$E, $A46, 'April Cleaned Data'!$J:$J, "*"&amp;$F$1&amp;"*")</f>
        <v>0</v>
      </c>
      <c r="G46">
        <f t="shared" si="2"/>
        <v>0</v>
      </c>
      <c r="H46" s="4">
        <f t="shared" si="0"/>
        <v>0</v>
      </c>
    </row>
    <row r="47" spans="2:8">
      <c r="B47">
        <f>COUNTIF('April Cleaned Data'!E:E,'Agent Breakdown'!A47)</f>
        <v>0</v>
      </c>
      <c r="C47">
        <f>COUNTIFS('April Cleaned Data'!$E:$E, $A47, 'April Cleaned Data'!$J:$J, "*"&amp;$C$1&amp;"*")</f>
        <v>0</v>
      </c>
      <c r="D47">
        <f>COUNTIFS('April Cleaned Data'!$E:$E, $A47, 'April Cleaned Data'!$J:$J, "*"&amp;$D$1&amp;"*")</f>
        <v>0</v>
      </c>
      <c r="E47">
        <f>COUNTIFS('April Cleaned Data'!$E:$E, $A47, 'April Cleaned Data'!$J:$J, "*"&amp;$E$1&amp;"*")</f>
        <v>0</v>
      </c>
      <c r="F47">
        <f>COUNTIFS('April Cleaned Data'!$E:$E, $A47, 'April Cleaned Data'!$J:$J, "*"&amp;$F$1&amp;"*")</f>
        <v>0</v>
      </c>
      <c r="G47">
        <f t="shared" si="2"/>
        <v>0</v>
      </c>
      <c r="H47" s="4">
        <f t="shared" si="0"/>
        <v>0</v>
      </c>
    </row>
    <row r="48" spans="2:8">
      <c r="B48">
        <f>COUNTIF('April Cleaned Data'!E:E,'Agent Breakdown'!A48)</f>
        <v>0</v>
      </c>
      <c r="C48">
        <f>COUNTIFS('April Cleaned Data'!$E:$E, $A48, 'April Cleaned Data'!$J:$J, "*"&amp;$C$1&amp;"*")</f>
        <v>0</v>
      </c>
      <c r="D48">
        <f>COUNTIFS('April Cleaned Data'!$E:$E, $A48, 'April Cleaned Data'!$J:$J, "*"&amp;$D$1&amp;"*")</f>
        <v>0</v>
      </c>
      <c r="E48">
        <f>COUNTIFS('April Cleaned Data'!$E:$E, $A48, 'April Cleaned Data'!$J:$J, "*"&amp;$E$1&amp;"*")</f>
        <v>0</v>
      </c>
      <c r="F48">
        <f>COUNTIFS('April Cleaned Data'!$E:$E, $A48, 'April Cleaned Data'!$J:$J, "*"&amp;$F$1&amp;"*")</f>
        <v>0</v>
      </c>
      <c r="G48">
        <f t="shared" si="2"/>
        <v>0</v>
      </c>
      <c r="H48" s="4">
        <f t="shared" si="0"/>
        <v>0</v>
      </c>
    </row>
    <row r="49" spans="2:8">
      <c r="B49">
        <f>COUNTIF('April Cleaned Data'!E:E,'Agent Breakdown'!A49)</f>
        <v>0</v>
      </c>
      <c r="C49">
        <f>COUNTIFS('April Cleaned Data'!$E:$E, $A49, 'April Cleaned Data'!$J:$J, "*"&amp;$C$1&amp;"*")</f>
        <v>0</v>
      </c>
      <c r="D49">
        <f>COUNTIFS('April Cleaned Data'!$E:$E, $A49, 'April Cleaned Data'!$J:$J, "*"&amp;$D$1&amp;"*")</f>
        <v>0</v>
      </c>
      <c r="E49">
        <f>COUNTIFS('April Cleaned Data'!$E:$E, $A49, 'April Cleaned Data'!$J:$J, "*"&amp;$E$1&amp;"*")</f>
        <v>0</v>
      </c>
      <c r="F49">
        <f>COUNTIFS('April Cleaned Data'!$E:$E, $A49, 'April Cleaned Data'!$J:$J, "*"&amp;$F$1&amp;"*")</f>
        <v>0</v>
      </c>
      <c r="G49">
        <f t="shared" si="2"/>
        <v>0</v>
      </c>
      <c r="H49" s="4">
        <f t="shared" si="0"/>
        <v>0</v>
      </c>
    </row>
    <row r="50" spans="2:8">
      <c r="B50">
        <f>COUNTIF('April Cleaned Data'!E:E,'Agent Breakdown'!A50)</f>
        <v>0</v>
      </c>
      <c r="C50">
        <f>COUNTIFS('April Cleaned Data'!$E:$E, $A50, 'April Cleaned Data'!$J:$J, "*"&amp;$C$1&amp;"*")</f>
        <v>0</v>
      </c>
      <c r="D50">
        <f>COUNTIFS('April Cleaned Data'!$E:$E, $A50, 'April Cleaned Data'!$J:$J, "*"&amp;$D$1&amp;"*")</f>
        <v>0</v>
      </c>
      <c r="E50">
        <f>COUNTIFS('April Cleaned Data'!$E:$E, $A50, 'April Cleaned Data'!$J:$J, "*"&amp;$E$1&amp;"*")</f>
        <v>0</v>
      </c>
      <c r="F50">
        <f>COUNTIFS('April Cleaned Data'!$E:$E, $A50, 'April Cleaned Data'!$J:$J, "*"&amp;$F$1&amp;"*")</f>
        <v>0</v>
      </c>
      <c r="G50">
        <f t="shared" si="2"/>
        <v>0</v>
      </c>
      <c r="H50" s="4">
        <f t="shared" si="0"/>
        <v>0</v>
      </c>
    </row>
  </sheetData>
  <conditionalFormatting sqref="A27:XFD1048576 A1:A26 I1:XFD26">
    <cfRule type="cellIs" dxfId="1" priority="2" operator="equal">
      <formula>0</formula>
    </cfRule>
  </conditionalFormatting>
  <conditionalFormatting sqref="H27:H50">
    <cfRule type="containsText" dxfId="0" priority="1" operator="containsText" text="#">
      <formula>NOT(ISERROR(SEARCH("#",H27)))</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48821-B72D-4E43-9547-00A66670EEBC}">
  <sheetPr>
    <tabColor rgb="FF00B0F0"/>
  </sheetPr>
  <dimension ref="A1:H52"/>
  <sheetViews>
    <sheetView workbookViewId="0">
      <selection activeCell="G12" sqref="G12"/>
    </sheetView>
  </sheetViews>
  <sheetFormatPr defaultRowHeight="15"/>
  <cols>
    <col min="1" max="1" width="20.140625" bestFit="1" customWidth="1"/>
    <col min="2" max="2" width="19.5703125" bestFit="1" customWidth="1"/>
    <col min="3" max="3" width="10.140625" bestFit="1" customWidth="1"/>
    <col min="4" max="4" width="8" bestFit="1" customWidth="1"/>
    <col min="5" max="5" width="10" bestFit="1" customWidth="1"/>
    <col min="6" max="6" width="12.42578125" customWidth="1"/>
    <col min="7" max="7" width="110.28515625" customWidth="1"/>
    <col min="8" max="8" width="36.5703125" customWidth="1"/>
    <col min="9" max="9" width="18.85546875" bestFit="1" customWidth="1"/>
    <col min="10" max="10" width="8.85546875" bestFit="1" customWidth="1"/>
    <col min="11" max="11" width="17.85546875" bestFit="1" customWidth="1"/>
    <col min="12" max="12" width="22.140625" bestFit="1" customWidth="1"/>
    <col min="13" max="13" width="12.28515625" bestFit="1" customWidth="1"/>
  </cols>
  <sheetData>
    <row r="1" spans="1:8">
      <c r="A1" t="s">
        <v>8</v>
      </c>
      <c r="B1" s="1" t="s">
        <v>0</v>
      </c>
      <c r="C1" t="s">
        <v>9</v>
      </c>
      <c r="D1" t="s">
        <v>10</v>
      </c>
      <c r="E1" t="s">
        <v>11</v>
      </c>
      <c r="F1" t="s">
        <v>12</v>
      </c>
      <c r="G1" t="s">
        <v>13</v>
      </c>
      <c r="H1" t="s">
        <v>14</v>
      </c>
    </row>
    <row r="2" spans="1:8" ht="30.75">
      <c r="A2" t="str">
        <f>_xlfn.XLOOKUP(B2, AgentSupervisorList!C:C, AgentSupervisorList!D:D)</f>
        <v>Blackwood, Seraphina</v>
      </c>
      <c r="B2" t="s">
        <v>15</v>
      </c>
      <c r="C2" s="2">
        <v>43934</v>
      </c>
      <c r="D2" t="s">
        <v>16</v>
      </c>
      <c r="E2">
        <v>1259</v>
      </c>
      <c r="F2">
        <v>11147</v>
      </c>
      <c r="G2" s="1" t="s">
        <v>17</v>
      </c>
      <c r="H2" t="s">
        <v>4</v>
      </c>
    </row>
    <row r="3" spans="1:8" ht="30.75">
      <c r="A3" t="str">
        <f>_xlfn.XLOOKUP(B3, AgentSupervisorList!C:C, AgentSupervisorList!D:D)</f>
        <v>Blackwood, Seraphina</v>
      </c>
      <c r="B3" t="s">
        <v>15</v>
      </c>
      <c r="C3" s="2">
        <v>43937</v>
      </c>
      <c r="D3" t="s">
        <v>18</v>
      </c>
      <c r="E3" t="s">
        <v>19</v>
      </c>
      <c r="F3">
        <v>11157</v>
      </c>
      <c r="G3" s="1" t="s">
        <v>20</v>
      </c>
      <c r="H3" t="s">
        <v>2</v>
      </c>
    </row>
    <row r="4" spans="1:8" ht="30.75">
      <c r="A4" t="str">
        <f>_xlfn.XLOOKUP(B4, AgentSupervisorList!C:C, AgentSupervisorList!D:D)</f>
        <v>Blackwood, Seraphina</v>
      </c>
      <c r="B4" t="s">
        <v>15</v>
      </c>
      <c r="C4" s="2">
        <v>43944</v>
      </c>
      <c r="D4" t="s">
        <v>18</v>
      </c>
      <c r="E4" t="s">
        <v>21</v>
      </c>
      <c r="G4" s="1" t="s">
        <v>22</v>
      </c>
      <c r="H4" s="1"/>
    </row>
    <row r="5" spans="1:8" ht="30.75">
      <c r="A5" t="str">
        <f>_xlfn.XLOOKUP(B5, AgentSupervisorList!C:C, AgentSupervisorList!D:D)</f>
        <v>Blackwood, Seraphina</v>
      </c>
      <c r="B5" t="s">
        <v>23</v>
      </c>
      <c r="C5" s="2">
        <v>43926</v>
      </c>
      <c r="D5" t="s">
        <v>16</v>
      </c>
      <c r="E5">
        <v>1245</v>
      </c>
      <c r="F5">
        <v>11005</v>
      </c>
      <c r="G5" s="1" t="s">
        <v>24</v>
      </c>
    </row>
    <row r="6" spans="1:8" ht="28.5" customHeight="1">
      <c r="A6" t="str">
        <f>_xlfn.XLOOKUP(B6, AgentSupervisorList!C:C, AgentSupervisorList!D:D)</f>
        <v>Blackwood, Seraphina</v>
      </c>
      <c r="B6" t="s">
        <v>25</v>
      </c>
      <c r="C6" s="2">
        <v>43928</v>
      </c>
      <c r="D6" t="s">
        <v>26</v>
      </c>
      <c r="E6" t="s">
        <v>27</v>
      </c>
      <c r="F6">
        <v>11150</v>
      </c>
      <c r="G6" s="1" t="s">
        <v>28</v>
      </c>
      <c r="H6" t="s">
        <v>29</v>
      </c>
    </row>
    <row r="7" spans="1:8" ht="17.25" customHeight="1">
      <c r="A7" t="str">
        <f>_xlfn.XLOOKUP(B7, AgentSupervisorList!C:C, AgentSupervisorList!D:D)</f>
        <v>Blackwood, Seraphina</v>
      </c>
      <c r="B7" t="s">
        <v>25</v>
      </c>
      <c r="C7" s="2">
        <v>43937</v>
      </c>
      <c r="D7" t="s">
        <v>18</v>
      </c>
      <c r="E7" t="s">
        <v>30</v>
      </c>
      <c r="F7">
        <v>11151</v>
      </c>
      <c r="G7" s="1" t="s">
        <v>31</v>
      </c>
      <c r="H7" t="s">
        <v>5</v>
      </c>
    </row>
    <row r="8" spans="1:8" ht="30.75">
      <c r="A8" t="str">
        <f>_xlfn.XLOOKUP(B8, AgentSupervisorList!C:C, AgentSupervisorList!D:D)</f>
        <v>Blackwood, Seraphina</v>
      </c>
      <c r="B8" t="s">
        <v>25</v>
      </c>
      <c r="C8" s="2">
        <v>43942</v>
      </c>
      <c r="D8" t="s">
        <v>18</v>
      </c>
      <c r="E8" t="s">
        <v>32</v>
      </c>
      <c r="F8">
        <v>11173</v>
      </c>
      <c r="G8" s="1" t="s">
        <v>33</v>
      </c>
      <c r="H8" t="s">
        <v>3</v>
      </c>
    </row>
    <row r="9" spans="1:8" ht="30.75">
      <c r="A9" t="str">
        <f>_xlfn.XLOOKUP(B9, AgentSupervisorList!C:C, AgentSupervisorList!D:D)</f>
        <v>Blackwood, Seraphina</v>
      </c>
      <c r="B9" t="s">
        <v>34</v>
      </c>
      <c r="C9" s="2">
        <v>43934</v>
      </c>
      <c r="D9" t="s">
        <v>16</v>
      </c>
      <c r="E9">
        <v>1260</v>
      </c>
      <c r="F9">
        <v>11140</v>
      </c>
      <c r="G9" s="1" t="s">
        <v>35</v>
      </c>
      <c r="H9" t="s">
        <v>5</v>
      </c>
    </row>
    <row r="10" spans="1:8" ht="30.75">
      <c r="A10" t="str">
        <f>_xlfn.XLOOKUP(B10, AgentSupervisorList!C:C, AgentSupervisorList!D:D)</f>
        <v>Blackwood, Seraphina</v>
      </c>
      <c r="B10" t="s">
        <v>34</v>
      </c>
      <c r="C10" s="2">
        <v>43935</v>
      </c>
      <c r="D10" t="s">
        <v>26</v>
      </c>
      <c r="E10" t="s">
        <v>36</v>
      </c>
      <c r="F10">
        <v>11102</v>
      </c>
      <c r="G10" s="1" t="s">
        <v>37</v>
      </c>
      <c r="H10" t="s">
        <v>4</v>
      </c>
    </row>
    <row r="11" spans="1:8" ht="60.75">
      <c r="A11" t="str">
        <f>_xlfn.XLOOKUP(B11, AgentSupervisorList!C:C, AgentSupervisorList!D:D)</f>
        <v>Blackwood, Seraphina</v>
      </c>
      <c r="B11" t="s">
        <v>34</v>
      </c>
      <c r="C11" s="2">
        <v>43951</v>
      </c>
      <c r="D11" t="s">
        <v>26</v>
      </c>
      <c r="E11" t="s">
        <v>38</v>
      </c>
      <c r="G11" s="1" t="s">
        <v>39</v>
      </c>
      <c r="H11" t="s">
        <v>3</v>
      </c>
    </row>
    <row r="12" spans="1:8">
      <c r="A12" t="str">
        <f>_xlfn.XLOOKUP(B12, AgentSupervisorList!C:C, AgentSupervisorList!D:D)</f>
        <v>Blackwood, Seraphina</v>
      </c>
      <c r="B12" t="s">
        <v>40</v>
      </c>
      <c r="C12" s="2">
        <v>43930</v>
      </c>
      <c r="D12" t="s">
        <v>26</v>
      </c>
      <c r="E12" t="s">
        <v>41</v>
      </c>
      <c r="F12">
        <v>11148</v>
      </c>
      <c r="G12" t="s">
        <v>42</v>
      </c>
    </row>
    <row r="13" spans="1:8" ht="30.75">
      <c r="A13" t="str">
        <f>_xlfn.XLOOKUP(B13, AgentSupervisorList!C:C, AgentSupervisorList!D:D)</f>
        <v>Blackwood, Seraphina</v>
      </c>
      <c r="B13" t="s">
        <v>40</v>
      </c>
      <c r="C13" s="2">
        <v>43950</v>
      </c>
      <c r="D13" t="s">
        <v>18</v>
      </c>
      <c r="E13" t="s">
        <v>43</v>
      </c>
      <c r="G13" s="1" t="s">
        <v>44</v>
      </c>
      <c r="H13" s="1" t="s">
        <v>45</v>
      </c>
    </row>
    <row r="14" spans="1:8" ht="30.75">
      <c r="A14" t="str">
        <f>_xlfn.XLOOKUP(B14, AgentSupervisorList!C:C, AgentSupervisorList!D:D)</f>
        <v>Finch, Cordelia</v>
      </c>
      <c r="B14" t="s">
        <v>46</v>
      </c>
      <c r="C14" s="2">
        <v>43944</v>
      </c>
      <c r="D14" t="s">
        <v>16</v>
      </c>
      <c r="E14">
        <v>1247</v>
      </c>
      <c r="G14" s="1" t="s">
        <v>47</v>
      </c>
      <c r="H14" t="s">
        <v>48</v>
      </c>
    </row>
    <row r="15" spans="1:8" ht="30.75">
      <c r="A15" t="str">
        <f>_xlfn.XLOOKUP(B15, AgentSupervisorList!C:C, AgentSupervisorList!D:D)</f>
        <v>Finch, Cordelia</v>
      </c>
      <c r="B15" t="s">
        <v>46</v>
      </c>
      <c r="C15" s="2">
        <v>43941</v>
      </c>
      <c r="D15" t="s">
        <v>18</v>
      </c>
      <c r="E15" t="s">
        <v>49</v>
      </c>
      <c r="G15" s="1" t="s">
        <v>50</v>
      </c>
      <c r="H15" t="s">
        <v>4</v>
      </c>
    </row>
    <row r="16" spans="1:8" ht="30.75">
      <c r="A16" t="str">
        <f>_xlfn.XLOOKUP(B16, AgentSupervisorList!C:C, AgentSupervisorList!D:D)</f>
        <v>Finch, Cordelia</v>
      </c>
      <c r="B16" t="s">
        <v>51</v>
      </c>
      <c r="C16" s="2">
        <v>43927</v>
      </c>
      <c r="D16" t="s">
        <v>26</v>
      </c>
      <c r="E16" t="s">
        <v>52</v>
      </c>
      <c r="F16">
        <v>11120</v>
      </c>
      <c r="G16" s="1" t="s">
        <v>53</v>
      </c>
    </row>
    <row r="17" spans="1:8" ht="30.75">
      <c r="A17" t="str">
        <f>_xlfn.XLOOKUP(B17, AgentSupervisorList!C:C, AgentSupervisorList!D:D)</f>
        <v>Finch, Cordelia</v>
      </c>
      <c r="B17" t="s">
        <v>51</v>
      </c>
      <c r="C17" s="2">
        <v>43943</v>
      </c>
      <c r="D17" t="s">
        <v>18</v>
      </c>
      <c r="E17" t="s">
        <v>54</v>
      </c>
      <c r="G17" s="1" t="s">
        <v>55</v>
      </c>
      <c r="H17" t="s">
        <v>2</v>
      </c>
    </row>
    <row r="18" spans="1:8" ht="30.75">
      <c r="A18" t="str">
        <f>_xlfn.XLOOKUP(B18, AgentSupervisorList!C:C, AgentSupervisorList!D:D)</f>
        <v>Finch, Cordelia</v>
      </c>
      <c r="B18" t="s">
        <v>51</v>
      </c>
      <c r="C18" s="2">
        <v>43936</v>
      </c>
      <c r="D18" t="s">
        <v>26</v>
      </c>
      <c r="E18" t="s">
        <v>56</v>
      </c>
      <c r="F18">
        <v>11153</v>
      </c>
      <c r="G18" s="1" t="s">
        <v>57</v>
      </c>
      <c r="H18" s="1" t="s">
        <v>58</v>
      </c>
    </row>
    <row r="19" spans="1:8" ht="30.75">
      <c r="A19" t="str">
        <f>_xlfn.XLOOKUP(B19, AgentSupervisorList!C:C, AgentSupervisorList!D:D)</f>
        <v>Finch, Cordelia</v>
      </c>
      <c r="B19" t="s">
        <v>59</v>
      </c>
      <c r="C19" s="2">
        <v>43928</v>
      </c>
      <c r="D19" t="s">
        <v>26</v>
      </c>
      <c r="E19" t="s">
        <v>60</v>
      </c>
      <c r="F19">
        <v>11111</v>
      </c>
      <c r="G19" s="1" t="s">
        <v>61</v>
      </c>
      <c r="H19" t="s">
        <v>3</v>
      </c>
    </row>
    <row r="20" spans="1:8" ht="30.75">
      <c r="A20" t="str">
        <f>_xlfn.XLOOKUP(B20, AgentSupervisorList!C:C, AgentSupervisorList!D:D)</f>
        <v>Finch, Cordelia</v>
      </c>
      <c r="B20" t="s">
        <v>59</v>
      </c>
      <c r="C20" s="2">
        <v>43949</v>
      </c>
      <c r="D20" t="s">
        <v>26</v>
      </c>
      <c r="E20" t="s">
        <v>62</v>
      </c>
      <c r="G20" s="1" t="s">
        <v>63</v>
      </c>
      <c r="H20" t="s">
        <v>3</v>
      </c>
    </row>
    <row r="21" spans="1:8" ht="30.75">
      <c r="A21" t="str">
        <f>_xlfn.XLOOKUP(B21, AgentSupervisorList!C:C, AgentSupervisorList!D:D)</f>
        <v>Finch, Cordelia</v>
      </c>
      <c r="B21" t="s">
        <v>64</v>
      </c>
      <c r="C21" s="2">
        <v>43936</v>
      </c>
      <c r="D21" t="s">
        <v>26</v>
      </c>
      <c r="E21" t="s">
        <v>65</v>
      </c>
      <c r="G21" s="1" t="s">
        <v>66</v>
      </c>
      <c r="H21" t="s">
        <v>5</v>
      </c>
    </row>
    <row r="22" spans="1:8" ht="30.75">
      <c r="A22" t="str">
        <f>_xlfn.XLOOKUP(B22, AgentSupervisorList!C:C, AgentSupervisorList!D:D)</f>
        <v>Finch, Cordelia</v>
      </c>
      <c r="B22" t="s">
        <v>64</v>
      </c>
      <c r="C22" s="2">
        <v>43948</v>
      </c>
      <c r="D22" t="s">
        <v>18</v>
      </c>
      <c r="E22" t="s">
        <v>67</v>
      </c>
      <c r="F22">
        <v>11205</v>
      </c>
      <c r="G22" s="1" t="s">
        <v>68</v>
      </c>
      <c r="H22" t="s">
        <v>48</v>
      </c>
    </row>
    <row r="23" spans="1:8" ht="30.75">
      <c r="A23" t="str">
        <f>_xlfn.XLOOKUP(B23, AgentSupervisorList!C:C, AgentSupervisorList!D:D)</f>
        <v>Finch, Cordelia</v>
      </c>
      <c r="B23" t="s">
        <v>69</v>
      </c>
      <c r="C23" s="2">
        <v>43929</v>
      </c>
      <c r="D23" t="s">
        <v>26</v>
      </c>
      <c r="E23" t="s">
        <v>70</v>
      </c>
      <c r="F23">
        <v>11151</v>
      </c>
      <c r="G23" s="1" t="s">
        <v>71</v>
      </c>
      <c r="H23" t="s">
        <v>5</v>
      </c>
    </row>
    <row r="24" spans="1:8">
      <c r="A24" t="str">
        <f>_xlfn.XLOOKUP(B24, AgentSupervisorList!C:C, AgentSupervisorList!D:D)</f>
        <v>Mercer, Gideon</v>
      </c>
      <c r="B24" t="s">
        <v>72</v>
      </c>
      <c r="C24" s="2">
        <v>43923</v>
      </c>
      <c r="D24" t="s">
        <v>26</v>
      </c>
      <c r="E24" t="s">
        <v>73</v>
      </c>
      <c r="F24">
        <v>110025</v>
      </c>
      <c r="G24" s="1" t="s">
        <v>74</v>
      </c>
      <c r="H24" s="1" t="s">
        <v>75</v>
      </c>
    </row>
    <row r="25" spans="1:8" ht="30.75">
      <c r="A25" t="str">
        <f>_xlfn.XLOOKUP(B25, AgentSupervisorList!C:C, AgentSupervisorList!D:D)</f>
        <v>Mercer, Gideon</v>
      </c>
      <c r="B25" t="s">
        <v>72</v>
      </c>
      <c r="C25" s="2">
        <v>43933</v>
      </c>
      <c r="D25" t="s">
        <v>18</v>
      </c>
      <c r="E25" t="s">
        <v>76</v>
      </c>
      <c r="G25" s="1" t="s">
        <v>77</v>
      </c>
      <c r="H25" t="s">
        <v>5</v>
      </c>
    </row>
    <row r="26" spans="1:8" ht="30.75">
      <c r="A26" t="str">
        <f>_xlfn.XLOOKUP(B26, AgentSupervisorList!C:C, AgentSupervisorList!D:D)</f>
        <v>Mercer, Gideon</v>
      </c>
      <c r="B26" t="s">
        <v>72</v>
      </c>
      <c r="C26" s="2">
        <v>43933</v>
      </c>
      <c r="D26" t="s">
        <v>18</v>
      </c>
      <c r="E26" t="s">
        <v>78</v>
      </c>
      <c r="F26">
        <v>11155</v>
      </c>
      <c r="G26" s="1" t="s">
        <v>79</v>
      </c>
      <c r="H26" t="s">
        <v>4</v>
      </c>
    </row>
    <row r="27" spans="1:8" ht="30.75">
      <c r="A27" t="str">
        <f>_xlfn.XLOOKUP(B27, AgentSupervisorList!C:C, AgentSupervisorList!D:D)</f>
        <v>Mercer, Gideon</v>
      </c>
      <c r="B27" t="s">
        <v>72</v>
      </c>
      <c r="C27" s="2">
        <v>43935</v>
      </c>
      <c r="D27" t="s">
        <v>26</v>
      </c>
      <c r="E27" t="s">
        <v>80</v>
      </c>
      <c r="F27">
        <v>11146</v>
      </c>
      <c r="G27" s="1" t="s">
        <v>81</v>
      </c>
    </row>
    <row r="28" spans="1:8" ht="30.75">
      <c r="A28" t="str">
        <f>_xlfn.XLOOKUP(B28, AgentSupervisorList!C:C, AgentSupervisorList!D:D)</f>
        <v>Mercer, Gideon</v>
      </c>
      <c r="B28" t="s">
        <v>72</v>
      </c>
      <c r="C28" s="2">
        <v>43941</v>
      </c>
      <c r="D28" t="s">
        <v>18</v>
      </c>
      <c r="E28" t="s">
        <v>82</v>
      </c>
      <c r="F28">
        <v>11163</v>
      </c>
      <c r="G28" s="1" t="s">
        <v>83</v>
      </c>
      <c r="H28" s="1" t="s">
        <v>3</v>
      </c>
    </row>
    <row r="29" spans="1:8" ht="30.75">
      <c r="A29" t="str">
        <f>_xlfn.XLOOKUP(B29, AgentSupervisorList!C:C, AgentSupervisorList!D:D)</f>
        <v>Mercer, Gideon</v>
      </c>
      <c r="B29" t="s">
        <v>84</v>
      </c>
      <c r="C29" s="2">
        <v>43927</v>
      </c>
      <c r="D29" t="s">
        <v>26</v>
      </c>
      <c r="E29" t="s">
        <v>85</v>
      </c>
      <c r="F29">
        <v>11126</v>
      </c>
      <c r="G29" s="1" t="s">
        <v>86</v>
      </c>
      <c r="H29" t="s">
        <v>2</v>
      </c>
    </row>
    <row r="30" spans="1:8">
      <c r="A30" t="str">
        <f>_xlfn.XLOOKUP(B30, AgentSupervisorList!C:C, AgentSupervisorList!D:D)</f>
        <v>Mercer, Gideon</v>
      </c>
      <c r="B30" t="s">
        <v>87</v>
      </c>
      <c r="C30" s="2">
        <v>43930</v>
      </c>
      <c r="D30" t="s">
        <v>26</v>
      </c>
      <c r="E30" t="s">
        <v>88</v>
      </c>
      <c r="F30" s="1" t="s">
        <v>89</v>
      </c>
      <c r="G30" t="s">
        <v>90</v>
      </c>
    </row>
    <row r="31" spans="1:8" ht="30.75">
      <c r="A31" t="str">
        <f>_xlfn.XLOOKUP(B31, AgentSupervisorList!C:C, AgentSupervisorList!D:D)</f>
        <v>Mercer, Gideon</v>
      </c>
      <c r="B31" t="s">
        <v>91</v>
      </c>
      <c r="C31" s="2">
        <v>43931</v>
      </c>
      <c r="D31" t="s">
        <v>18</v>
      </c>
      <c r="E31" t="s">
        <v>92</v>
      </c>
      <c r="F31">
        <v>11114</v>
      </c>
      <c r="G31" s="1" t="s">
        <v>93</v>
      </c>
      <c r="H31" t="s">
        <v>94</v>
      </c>
    </row>
    <row r="32" spans="1:8" ht="30.75">
      <c r="A32" t="str">
        <f>_xlfn.XLOOKUP(B32, AgentSupervisorList!C:C, AgentSupervisorList!D:D)</f>
        <v>Mercer, Gideon</v>
      </c>
      <c r="B32" t="s">
        <v>91</v>
      </c>
      <c r="C32" s="2">
        <v>43937</v>
      </c>
      <c r="D32" t="s">
        <v>18</v>
      </c>
      <c r="E32" t="s">
        <v>95</v>
      </c>
      <c r="G32" s="1" t="s">
        <v>96</v>
      </c>
      <c r="H32" t="s">
        <v>48</v>
      </c>
    </row>
    <row r="33" spans="1:8" ht="30.75">
      <c r="A33" t="str">
        <f>_xlfn.XLOOKUP(B33, AgentSupervisorList!C:C, AgentSupervisorList!D:D)</f>
        <v>Mercer, Gideon</v>
      </c>
      <c r="B33" t="s">
        <v>97</v>
      </c>
      <c r="C33" s="2">
        <v>43933</v>
      </c>
      <c r="D33" t="s">
        <v>18</v>
      </c>
      <c r="E33" t="s">
        <v>98</v>
      </c>
      <c r="G33" s="1" t="s">
        <v>99</v>
      </c>
      <c r="H33" t="s">
        <v>4</v>
      </c>
    </row>
    <row r="34" spans="1:8" ht="45.75">
      <c r="A34" t="str">
        <f>_xlfn.XLOOKUP(B34, AgentSupervisorList!C:C, AgentSupervisorList!D:D)</f>
        <v>Thorne, Alistair</v>
      </c>
      <c r="B34" t="s">
        <v>100</v>
      </c>
      <c r="C34" s="2">
        <v>43924</v>
      </c>
      <c r="D34" t="s">
        <v>18</v>
      </c>
      <c r="E34" t="s">
        <v>101</v>
      </c>
      <c r="G34" s="1" t="s">
        <v>102</v>
      </c>
      <c r="H34" t="s">
        <v>75</v>
      </c>
    </row>
    <row r="35" spans="1:8" ht="30.75">
      <c r="A35" t="str">
        <f>_xlfn.XLOOKUP(B35, AgentSupervisorList!C:C, AgentSupervisorList!D:D)</f>
        <v>Thorne, Alistair</v>
      </c>
      <c r="B35" t="s">
        <v>100</v>
      </c>
      <c r="C35" s="2">
        <v>43936</v>
      </c>
      <c r="D35" t="s">
        <v>26</v>
      </c>
      <c r="E35" t="s">
        <v>103</v>
      </c>
      <c r="F35">
        <v>11170</v>
      </c>
      <c r="G35" s="1" t="s">
        <v>104</v>
      </c>
    </row>
    <row r="36" spans="1:8">
      <c r="A36" t="str">
        <f>_xlfn.XLOOKUP(B36, AgentSupervisorList!C:C, AgentSupervisorList!D:D)</f>
        <v>Thorne, Alistair</v>
      </c>
      <c r="B36" t="s">
        <v>105</v>
      </c>
      <c r="C36" s="2">
        <v>43924</v>
      </c>
      <c r="D36" t="s">
        <v>18</v>
      </c>
      <c r="E36" t="s">
        <v>106</v>
      </c>
      <c r="G36" s="1" t="s">
        <v>107</v>
      </c>
      <c r="H36" s="1" t="s">
        <v>2</v>
      </c>
    </row>
    <row r="37" spans="1:8" ht="30.75">
      <c r="A37" t="str">
        <f>_xlfn.XLOOKUP(B37, AgentSupervisorList!C:C, AgentSupervisorList!D:D)</f>
        <v>Thorne, Alistair</v>
      </c>
      <c r="B37" t="s">
        <v>108</v>
      </c>
      <c r="C37" s="2">
        <v>43926</v>
      </c>
      <c r="D37" t="s">
        <v>16</v>
      </c>
      <c r="E37">
        <v>1244</v>
      </c>
      <c r="F37">
        <v>11118</v>
      </c>
      <c r="G37" s="1" t="s">
        <v>109</v>
      </c>
      <c r="H37" t="s">
        <v>48</v>
      </c>
    </row>
    <row r="38" spans="1:8" ht="30.75">
      <c r="A38" t="str">
        <f>_xlfn.XLOOKUP(B38, AgentSupervisorList!C:C, AgentSupervisorList!D:D)</f>
        <v>Thorne, Alistair</v>
      </c>
      <c r="B38" t="s">
        <v>110</v>
      </c>
      <c r="C38" s="2">
        <v>43927</v>
      </c>
      <c r="D38" t="s">
        <v>26</v>
      </c>
      <c r="E38" t="s">
        <v>111</v>
      </c>
      <c r="F38">
        <v>11127</v>
      </c>
      <c r="G38" s="1" t="s">
        <v>112</v>
      </c>
      <c r="H38" t="s">
        <v>113</v>
      </c>
    </row>
    <row r="39" spans="1:8" ht="30.75">
      <c r="A39" t="str">
        <f>_xlfn.XLOOKUP(B39, AgentSupervisorList!C:C, AgentSupervisorList!D:D)</f>
        <v>Thorne, Alistair</v>
      </c>
      <c r="B39" t="s">
        <v>114</v>
      </c>
      <c r="C39" s="2">
        <v>43938</v>
      </c>
      <c r="D39" t="s">
        <v>18</v>
      </c>
      <c r="E39" t="s">
        <v>115</v>
      </c>
      <c r="F39">
        <v>11188</v>
      </c>
      <c r="G39" s="3" t="s">
        <v>116</v>
      </c>
      <c r="H39" s="1" t="s">
        <v>117</v>
      </c>
    </row>
    <row r="40" spans="1:8" ht="30.75">
      <c r="A40" t="str">
        <f>_xlfn.XLOOKUP(B40, AgentSupervisorList!C:C, AgentSupervisorList!D:D)</f>
        <v>Thorne, Alistair</v>
      </c>
      <c r="B40" t="s">
        <v>114</v>
      </c>
      <c r="C40" s="2">
        <v>43943</v>
      </c>
      <c r="D40" t="s">
        <v>18</v>
      </c>
      <c r="E40" t="s">
        <v>118</v>
      </c>
      <c r="G40" s="1" t="s">
        <v>119</v>
      </c>
      <c r="H40" t="s">
        <v>4</v>
      </c>
    </row>
    <row r="41" spans="1:8" ht="30.75">
      <c r="A41" t="str">
        <f>_xlfn.XLOOKUP(B41, AgentSupervisorList!C:C, AgentSupervisorList!D:D)</f>
        <v>Thorne, Alistair</v>
      </c>
      <c r="B41" t="s">
        <v>114</v>
      </c>
      <c r="C41" s="2">
        <v>43948</v>
      </c>
      <c r="D41" t="s">
        <v>18</v>
      </c>
      <c r="E41" t="s">
        <v>120</v>
      </c>
      <c r="F41">
        <v>11157</v>
      </c>
      <c r="G41" s="1" t="s">
        <v>121</v>
      </c>
      <c r="H41" t="s">
        <v>4</v>
      </c>
    </row>
    <row r="42" spans="1:8" ht="30.75">
      <c r="A42" t="str">
        <f>_xlfn.XLOOKUP(B42, AgentSupervisorList!C:C, AgentSupervisorList!D:D)</f>
        <v>Thorne, Alistair</v>
      </c>
      <c r="B42" t="s">
        <v>114</v>
      </c>
      <c r="C42" s="2">
        <v>43929</v>
      </c>
      <c r="D42" t="s">
        <v>26</v>
      </c>
      <c r="E42" t="s">
        <v>122</v>
      </c>
      <c r="F42">
        <v>11149</v>
      </c>
      <c r="G42" s="1" t="s">
        <v>123</v>
      </c>
      <c r="H42" t="s">
        <v>4</v>
      </c>
    </row>
    <row r="43" spans="1:8">
      <c r="A43" t="str">
        <f>_xlfn.XLOOKUP(B43, AgentSupervisorList!C:C, AgentSupervisorList!D:D)</f>
        <v>Vance, Sterling</v>
      </c>
      <c r="B43" t="s">
        <v>124</v>
      </c>
      <c r="C43" s="2">
        <v>43923</v>
      </c>
      <c r="D43" t="s">
        <v>26</v>
      </c>
      <c r="E43" t="s">
        <v>125</v>
      </c>
      <c r="G43" s="1" t="s">
        <v>126</v>
      </c>
      <c r="H43" s="1"/>
    </row>
    <row r="44" spans="1:8" ht="30.75">
      <c r="A44" t="str">
        <f>_xlfn.XLOOKUP(B44, AgentSupervisorList!C:C, AgentSupervisorList!D:D)</f>
        <v>Vance, Sterling</v>
      </c>
      <c r="B44" t="s">
        <v>124</v>
      </c>
      <c r="C44" s="2">
        <v>43942</v>
      </c>
      <c r="D44" t="s">
        <v>18</v>
      </c>
      <c r="E44" t="s">
        <v>118</v>
      </c>
      <c r="G44" s="1" t="s">
        <v>127</v>
      </c>
      <c r="H44" t="s">
        <v>4</v>
      </c>
    </row>
    <row r="45" spans="1:8" ht="30.75">
      <c r="A45" t="str">
        <f>_xlfn.XLOOKUP(B45, AgentSupervisorList!C:C, AgentSupervisorList!D:D)</f>
        <v>Vance, Sterling</v>
      </c>
      <c r="B45" t="s">
        <v>124</v>
      </c>
      <c r="C45" s="2">
        <v>43934</v>
      </c>
      <c r="D45" t="s">
        <v>16</v>
      </c>
      <c r="E45">
        <v>1258</v>
      </c>
      <c r="F45">
        <v>11156</v>
      </c>
      <c r="G45" s="1" t="s">
        <v>128</v>
      </c>
      <c r="H45" t="s">
        <v>3</v>
      </c>
    </row>
    <row r="46" spans="1:8" ht="45.75">
      <c r="A46" t="str">
        <f>_xlfn.XLOOKUP(B46, AgentSupervisorList!C:C, AgentSupervisorList!D:D)</f>
        <v>Vance, Sterling</v>
      </c>
      <c r="B46" t="s">
        <v>124</v>
      </c>
      <c r="C46" s="2">
        <v>43935</v>
      </c>
      <c r="D46" t="s">
        <v>26</v>
      </c>
      <c r="E46" t="s">
        <v>129</v>
      </c>
      <c r="F46">
        <v>11163</v>
      </c>
      <c r="G46" s="1" t="s">
        <v>130</v>
      </c>
      <c r="H46" s="1" t="s">
        <v>45</v>
      </c>
    </row>
    <row r="47" spans="1:8">
      <c r="A47" t="str">
        <f>_xlfn.XLOOKUP(B47, AgentSupervisorList!C:C, AgentSupervisorList!D:D)</f>
        <v>Vance, Sterling</v>
      </c>
      <c r="B47" t="s">
        <v>131</v>
      </c>
      <c r="C47" s="2">
        <v>43926</v>
      </c>
      <c r="D47" t="s">
        <v>16</v>
      </c>
      <c r="E47">
        <v>1246</v>
      </c>
      <c r="F47">
        <v>11118</v>
      </c>
      <c r="G47" s="1" t="s">
        <v>132</v>
      </c>
    </row>
    <row r="48" spans="1:8" ht="60.75">
      <c r="A48" t="str">
        <f>_xlfn.XLOOKUP(B48, AgentSupervisorList!C:C, AgentSupervisorList!D:D)</f>
        <v>Vance, Sterling</v>
      </c>
      <c r="B48" t="s">
        <v>133</v>
      </c>
      <c r="C48" s="2">
        <v>43945</v>
      </c>
      <c r="D48" t="s">
        <v>26</v>
      </c>
      <c r="E48" t="s">
        <v>134</v>
      </c>
      <c r="G48" s="1" t="s">
        <v>135</v>
      </c>
      <c r="H48" t="s">
        <v>5</v>
      </c>
    </row>
    <row r="49" spans="1:8">
      <c r="A49" t="str">
        <f>_xlfn.XLOOKUP(B49, AgentSupervisorList!C:C, AgentSupervisorList!D:D)</f>
        <v>Vance, Sterling</v>
      </c>
      <c r="B49" t="s">
        <v>136</v>
      </c>
      <c r="C49" s="2">
        <v>43930</v>
      </c>
      <c r="D49" t="s">
        <v>26</v>
      </c>
      <c r="E49" t="s">
        <v>137</v>
      </c>
      <c r="F49">
        <v>11136</v>
      </c>
      <c r="G49" s="1" t="s">
        <v>138</v>
      </c>
    </row>
    <row r="50" spans="1:8" ht="30.75">
      <c r="A50" t="str">
        <f>_xlfn.XLOOKUP(B50, AgentSupervisorList!C:C, AgentSupervisorList!D:D)</f>
        <v>Vance, Sterling</v>
      </c>
      <c r="B50" t="s">
        <v>136</v>
      </c>
      <c r="C50" s="2">
        <v>43936</v>
      </c>
      <c r="D50" t="s">
        <v>26</v>
      </c>
      <c r="E50" t="s">
        <v>139</v>
      </c>
      <c r="F50">
        <v>11115</v>
      </c>
      <c r="G50" s="1" t="s">
        <v>140</v>
      </c>
      <c r="H50" t="s">
        <v>4</v>
      </c>
    </row>
    <row r="51" spans="1:8" ht="30.75">
      <c r="A51" t="str">
        <f>_xlfn.XLOOKUP(B51, AgentSupervisorList!C:C, AgentSupervisorList!D:D)</f>
        <v>Vance, Sterling</v>
      </c>
      <c r="B51" t="s">
        <v>141</v>
      </c>
      <c r="C51" s="2">
        <v>43932</v>
      </c>
      <c r="D51" t="s">
        <v>18</v>
      </c>
      <c r="E51" t="s">
        <v>142</v>
      </c>
      <c r="F51">
        <v>11163</v>
      </c>
      <c r="G51" s="1" t="s">
        <v>143</v>
      </c>
      <c r="H51" t="s">
        <v>3</v>
      </c>
    </row>
    <row r="52" spans="1:8" ht="30.75">
      <c r="A52" t="str">
        <f>_xlfn.XLOOKUP(B52, AgentSupervisorList!C:C, AgentSupervisorList!D:D)</f>
        <v>Vance, Sterling</v>
      </c>
      <c r="B52" t="s">
        <v>141</v>
      </c>
      <c r="C52" s="2">
        <v>43949</v>
      </c>
      <c r="D52" t="s">
        <v>18</v>
      </c>
      <c r="E52" t="s">
        <v>142</v>
      </c>
      <c r="F52">
        <v>11222</v>
      </c>
      <c r="G52" s="1" t="s">
        <v>143</v>
      </c>
    </row>
  </sheetData>
  <autoFilter ref="A1:H52" xr:uid="{1CD48821-B72D-4E43-9547-00A66670EEB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55D11-E8CD-4EC6-8E80-B2078E5B1A53}">
  <dimension ref="A1:J52"/>
  <sheetViews>
    <sheetView workbookViewId="0">
      <selection activeCell="E3" sqref="E3"/>
    </sheetView>
  </sheetViews>
  <sheetFormatPr defaultRowHeight="15"/>
  <cols>
    <col min="1" max="1" width="10.140625" bestFit="1" customWidth="1"/>
    <col min="2" max="2" width="19.5703125" bestFit="1" customWidth="1"/>
    <col min="3" max="4" width="19.5703125" customWidth="1"/>
    <col min="5" max="5" width="36.5703125" bestFit="1" customWidth="1"/>
    <col min="7" max="7" width="10" bestFit="1" customWidth="1"/>
    <col min="8" max="8" width="12.42578125" customWidth="1"/>
    <col min="9" max="9" width="110.28515625" customWidth="1"/>
    <col min="10" max="10" width="36.5703125" customWidth="1"/>
    <col min="11" max="11" width="18.85546875" bestFit="1" customWidth="1"/>
    <col min="12" max="12" width="8.85546875" bestFit="1" customWidth="1"/>
    <col min="13" max="13" width="17.85546875" bestFit="1" customWidth="1"/>
    <col min="14" max="14" width="22.140625" bestFit="1" customWidth="1"/>
    <col min="15" max="15" width="12.28515625" bestFit="1" customWidth="1"/>
  </cols>
  <sheetData>
    <row r="1" spans="1:10">
      <c r="A1" t="s">
        <v>9</v>
      </c>
      <c r="B1" t="s">
        <v>0</v>
      </c>
      <c r="C1" t="s">
        <v>144</v>
      </c>
      <c r="D1" t="s">
        <v>145</v>
      </c>
      <c r="E1" s="1" t="s">
        <v>146</v>
      </c>
      <c r="F1" t="s">
        <v>10</v>
      </c>
      <c r="G1" t="s">
        <v>11</v>
      </c>
      <c r="H1" t="s">
        <v>12</v>
      </c>
      <c r="I1" t="s">
        <v>13</v>
      </c>
      <c r="J1" t="s">
        <v>14</v>
      </c>
    </row>
    <row r="2" spans="1:10">
      <c r="A2" s="2">
        <v>43923</v>
      </c>
      <c r="B2" t="s">
        <v>147</v>
      </c>
      <c r="C2" t="str">
        <f>_xlfn.TEXTBEFORE(B2,",",,,,_xlfn.TEXTBEFORE(B2," "))</f>
        <v>Henry</v>
      </c>
      <c r="D2" t="str">
        <f>_xlfn.TEXTAFTER(B2,",",,,,_xlfn.TEXTAFTER(B2," "))</f>
        <v>Anderson</v>
      </c>
      <c r="E2" t="s">
        <v>72</v>
      </c>
      <c r="F2" t="s">
        <v>26</v>
      </c>
      <c r="G2" t="s">
        <v>73</v>
      </c>
      <c r="H2">
        <v>110025</v>
      </c>
      <c r="I2" s="1" t="s">
        <v>74</v>
      </c>
      <c r="J2" s="1" t="s">
        <v>75</v>
      </c>
    </row>
    <row r="3" spans="1:10" ht="30.75">
      <c r="A3" s="2">
        <v>43933</v>
      </c>
      <c r="B3" t="s">
        <v>72</v>
      </c>
      <c r="C3" t="str">
        <f>_xlfn.TEXTBEFORE(B3,",",,,,_xlfn.TEXTBEFORE(B3," "))</f>
        <v>Anderson</v>
      </c>
      <c r="D3" t="str">
        <f>_xlfn.TEXTAFTER(B3,",",,,,_xlfn.TEXTAFTER(B3," "))</f>
        <v xml:space="preserve"> Henry</v>
      </c>
      <c r="E3" t="s">
        <v>72</v>
      </c>
      <c r="F3" t="s">
        <v>18</v>
      </c>
      <c r="G3" t="s">
        <v>76</v>
      </c>
      <c r="I3" s="1" t="s">
        <v>77</v>
      </c>
      <c r="J3" t="s">
        <v>5</v>
      </c>
    </row>
    <row r="4" spans="1:10" ht="30.75">
      <c r="A4" s="2">
        <v>43933</v>
      </c>
      <c r="B4" t="s">
        <v>72</v>
      </c>
      <c r="C4" t="str">
        <f>_xlfn.TEXTBEFORE(B4,",",,,,_xlfn.TEXTBEFORE(B4," "))</f>
        <v>Anderson</v>
      </c>
      <c r="D4" t="str">
        <f>_xlfn.TEXTAFTER(B4,",",,,,_xlfn.TEXTAFTER(B4," "))</f>
        <v xml:space="preserve"> Henry</v>
      </c>
      <c r="E4" t="s">
        <v>72</v>
      </c>
      <c r="F4" t="s">
        <v>18</v>
      </c>
      <c r="G4" t="s">
        <v>78</v>
      </c>
      <c r="H4">
        <v>11155</v>
      </c>
      <c r="I4" s="1" t="s">
        <v>79</v>
      </c>
      <c r="J4" t="s">
        <v>4</v>
      </c>
    </row>
    <row r="5" spans="1:10" ht="30.75">
      <c r="A5" s="2">
        <v>43935</v>
      </c>
      <c r="B5" s="1" t="s">
        <v>72</v>
      </c>
      <c r="C5" t="str">
        <f>_xlfn.TEXTBEFORE(B5,",",,,,_xlfn.TEXTBEFORE(B5," "))</f>
        <v>Anderson</v>
      </c>
      <c r="D5" t="str">
        <f>_xlfn.TEXTAFTER(B5,",",,,,_xlfn.TEXTAFTER(B5," "))</f>
        <v xml:space="preserve"> Henry</v>
      </c>
      <c r="E5" t="s">
        <v>72</v>
      </c>
      <c r="F5" t="s">
        <v>26</v>
      </c>
      <c r="G5" t="s">
        <v>80</v>
      </c>
      <c r="H5">
        <v>11146</v>
      </c>
      <c r="I5" s="1" t="s">
        <v>81</v>
      </c>
    </row>
    <row r="6" spans="1:10" ht="28.5" customHeight="1">
      <c r="A6" s="2">
        <v>43941</v>
      </c>
      <c r="B6" s="1" t="s">
        <v>72</v>
      </c>
      <c r="C6" t="str">
        <f>_xlfn.TEXTBEFORE(B6,",",,,,_xlfn.TEXTBEFORE(B6," "))</f>
        <v>Anderson</v>
      </c>
      <c r="D6" t="str">
        <f>_xlfn.TEXTAFTER(B6,",",,,,_xlfn.TEXTAFTER(B6," "))</f>
        <v xml:space="preserve"> Henry</v>
      </c>
      <c r="E6" t="s">
        <v>72</v>
      </c>
      <c r="F6" t="s">
        <v>18</v>
      </c>
      <c r="G6" t="s">
        <v>82</v>
      </c>
      <c r="H6">
        <v>11163</v>
      </c>
      <c r="I6" s="1" t="s">
        <v>83</v>
      </c>
      <c r="J6" s="1" t="s">
        <v>3</v>
      </c>
    </row>
    <row r="7" spans="1:10" ht="17.25" customHeight="1">
      <c r="A7" s="2">
        <v>43923</v>
      </c>
      <c r="B7" t="s">
        <v>124</v>
      </c>
      <c r="C7" t="str">
        <f>_xlfn.TEXTBEFORE(B7,",",,,,_xlfn.TEXTBEFORE(B7," "))</f>
        <v>Brown</v>
      </c>
      <c r="D7" t="str">
        <f>_xlfn.TEXTAFTER(B7,",",,,,_xlfn.TEXTAFTER(B7," "))</f>
        <v xml:space="preserve"> Emma</v>
      </c>
      <c r="E7" t="s">
        <v>124</v>
      </c>
      <c r="F7" t="s">
        <v>26</v>
      </c>
      <c r="G7" t="s">
        <v>125</v>
      </c>
      <c r="I7" s="1" t="s">
        <v>126</v>
      </c>
      <c r="J7" s="1"/>
    </row>
    <row r="8" spans="1:10" ht="30.75">
      <c r="A8" s="2">
        <v>43942</v>
      </c>
      <c r="B8" s="1" t="s">
        <v>148</v>
      </c>
      <c r="C8" t="str">
        <f>_xlfn.TEXTBEFORE(B8,",",,,,_xlfn.TEXTBEFORE(B8," "))</f>
        <v>Brown</v>
      </c>
      <c r="D8" t="str">
        <f>_xlfn.TEXTAFTER(B8,",",,,,_xlfn.TEXTAFTER(B8," "))</f>
        <v>, Emma</v>
      </c>
      <c r="E8" t="s">
        <v>124</v>
      </c>
      <c r="F8" t="s">
        <v>18</v>
      </c>
      <c r="G8" t="s">
        <v>118</v>
      </c>
      <c r="I8" s="1" t="s">
        <v>127</v>
      </c>
      <c r="J8" t="s">
        <v>4</v>
      </c>
    </row>
    <row r="9" spans="1:10" ht="30.75">
      <c r="A9" s="2">
        <v>43934</v>
      </c>
      <c r="B9" s="1" t="s">
        <v>124</v>
      </c>
      <c r="C9" t="str">
        <f>_xlfn.TEXTBEFORE(B9,",",,,,_xlfn.TEXTBEFORE(B9," "))</f>
        <v>Brown</v>
      </c>
      <c r="D9" t="str">
        <f>_xlfn.TEXTAFTER(B9,",",,,,_xlfn.TEXTAFTER(B9," "))</f>
        <v xml:space="preserve"> Emma</v>
      </c>
      <c r="E9" t="s">
        <v>124</v>
      </c>
      <c r="F9" t="s">
        <v>16</v>
      </c>
      <c r="G9">
        <v>1258</v>
      </c>
      <c r="H9">
        <v>11156</v>
      </c>
      <c r="I9" s="1" t="s">
        <v>128</v>
      </c>
      <c r="J9" t="s">
        <v>3</v>
      </c>
    </row>
    <row r="10" spans="1:10" ht="45.75">
      <c r="A10" s="2">
        <v>43935</v>
      </c>
      <c r="B10" s="1" t="s">
        <v>124</v>
      </c>
      <c r="C10" t="str">
        <f>_xlfn.TEXTBEFORE(B10,",",,,,_xlfn.TEXTBEFORE(B10," "))</f>
        <v>Brown</v>
      </c>
      <c r="D10" t="str">
        <f>_xlfn.TEXTAFTER(B10,",",,,,_xlfn.TEXTAFTER(B10," "))</f>
        <v xml:space="preserve"> Emma</v>
      </c>
      <c r="E10" t="s">
        <v>124</v>
      </c>
      <c r="F10" t="s">
        <v>26</v>
      </c>
      <c r="G10" t="s">
        <v>129</v>
      </c>
      <c r="H10">
        <v>11163</v>
      </c>
      <c r="I10" s="1" t="s">
        <v>130</v>
      </c>
      <c r="J10" s="1" t="s">
        <v>45</v>
      </c>
    </row>
    <row r="11" spans="1:10" ht="45.75">
      <c r="A11" s="2">
        <v>43924</v>
      </c>
      <c r="B11" t="s">
        <v>100</v>
      </c>
      <c r="C11" t="str">
        <f>_xlfn.TEXTBEFORE(B11,",",,,,_xlfn.TEXTBEFORE(B11," "))</f>
        <v>Davis</v>
      </c>
      <c r="D11" t="str">
        <f>_xlfn.TEXTAFTER(B11,",",,,,_xlfn.TEXTAFTER(B11," "))</f>
        <v xml:space="preserve"> Charlotte</v>
      </c>
      <c r="E11" t="s">
        <v>100</v>
      </c>
      <c r="F11" t="s">
        <v>18</v>
      </c>
      <c r="G11" t="s">
        <v>101</v>
      </c>
      <c r="I11" s="1" t="s">
        <v>102</v>
      </c>
      <c r="J11" t="s">
        <v>75</v>
      </c>
    </row>
    <row r="12" spans="1:10" ht="30.75">
      <c r="A12" s="2">
        <v>43936</v>
      </c>
      <c r="B12" s="1" t="s">
        <v>100</v>
      </c>
      <c r="C12" t="str">
        <f>_xlfn.TEXTBEFORE(B12,",",,,,_xlfn.TEXTBEFORE(B12," "))</f>
        <v>Davis</v>
      </c>
      <c r="D12" t="str">
        <f>_xlfn.TEXTAFTER(B12,",",,,,_xlfn.TEXTAFTER(B12," "))</f>
        <v xml:space="preserve"> Charlotte</v>
      </c>
      <c r="E12" t="s">
        <v>100</v>
      </c>
      <c r="F12" t="s">
        <v>26</v>
      </c>
      <c r="G12" t="s">
        <v>103</v>
      </c>
      <c r="H12">
        <v>11170</v>
      </c>
      <c r="I12" s="1" t="s">
        <v>104</v>
      </c>
    </row>
    <row r="13" spans="1:10">
      <c r="A13" s="2">
        <v>43924</v>
      </c>
      <c r="B13" t="s">
        <v>105</v>
      </c>
      <c r="C13" t="str">
        <f>_xlfn.TEXTBEFORE(B13,",",,,,_xlfn.TEXTBEFORE(B13," "))</f>
        <v>Garcia</v>
      </c>
      <c r="D13" t="str">
        <f>_xlfn.TEXTAFTER(B13,",",,,,_xlfn.TEXTAFTER(B13," "))</f>
        <v xml:space="preserve"> Ava</v>
      </c>
      <c r="E13" t="s">
        <v>105</v>
      </c>
      <c r="F13" t="s">
        <v>18</v>
      </c>
      <c r="G13" t="s">
        <v>106</v>
      </c>
      <c r="I13" s="1" t="s">
        <v>107</v>
      </c>
      <c r="J13" s="1" t="s">
        <v>2</v>
      </c>
    </row>
    <row r="14" spans="1:10" ht="30.75">
      <c r="A14" s="2">
        <v>43934</v>
      </c>
      <c r="B14" s="1" t="s">
        <v>15</v>
      </c>
      <c r="C14" t="str">
        <f>_xlfn.TEXTBEFORE(B14,",",,,,_xlfn.TEXTBEFORE(B14," "))</f>
        <v>Gonzalez</v>
      </c>
      <c r="D14" t="str">
        <f>_xlfn.TEXTAFTER(B14,",",,,,_xlfn.TEXTAFTER(B14," "))</f>
        <v xml:space="preserve"> Lucas</v>
      </c>
      <c r="E14" t="s">
        <v>15</v>
      </c>
      <c r="F14" t="s">
        <v>16</v>
      </c>
      <c r="G14">
        <v>1259</v>
      </c>
      <c r="H14">
        <v>11147</v>
      </c>
      <c r="I14" s="1" t="s">
        <v>17</v>
      </c>
      <c r="J14" t="s">
        <v>4</v>
      </c>
    </row>
    <row r="15" spans="1:10" ht="30.75">
      <c r="A15" s="2">
        <v>43937</v>
      </c>
      <c r="B15" s="1" t="s">
        <v>15</v>
      </c>
      <c r="C15" t="str">
        <f>_xlfn.TEXTBEFORE(B15,",",,,,_xlfn.TEXTBEFORE(B15," "))</f>
        <v>Gonzalez</v>
      </c>
      <c r="D15" t="str">
        <f>_xlfn.TEXTAFTER(B15,",",,,,_xlfn.TEXTAFTER(B15," "))</f>
        <v xml:space="preserve"> Lucas</v>
      </c>
      <c r="E15" t="s">
        <v>15</v>
      </c>
      <c r="F15" t="s">
        <v>18</v>
      </c>
      <c r="G15" t="s">
        <v>19</v>
      </c>
      <c r="H15">
        <v>11157</v>
      </c>
      <c r="I15" s="1" t="s">
        <v>20</v>
      </c>
      <c r="J15" t="s">
        <v>2</v>
      </c>
    </row>
    <row r="16" spans="1:10" ht="30.75">
      <c r="A16" s="2">
        <v>43944</v>
      </c>
      <c r="B16" t="s">
        <v>15</v>
      </c>
      <c r="C16" t="str">
        <f>_xlfn.TEXTBEFORE(B16,",",,,,_xlfn.TEXTBEFORE(B16," "))</f>
        <v>Gonzalez</v>
      </c>
      <c r="D16" t="str">
        <f>_xlfn.TEXTAFTER(B16,",",,,,_xlfn.TEXTAFTER(B16," "))</f>
        <v xml:space="preserve"> Lucas</v>
      </c>
      <c r="E16" t="s">
        <v>15</v>
      </c>
      <c r="F16" t="s">
        <v>18</v>
      </c>
      <c r="G16" t="s">
        <v>21</v>
      </c>
      <c r="I16" s="1" t="s">
        <v>22</v>
      </c>
      <c r="J16" s="1"/>
    </row>
    <row r="17" spans="1:10" ht="30.75">
      <c r="A17" s="2">
        <v>43926</v>
      </c>
      <c r="B17" t="s">
        <v>108</v>
      </c>
      <c r="C17" t="str">
        <f>_xlfn.TEXTBEFORE(B17,",",,,,_xlfn.TEXTBEFORE(B17," "))</f>
        <v>Hernandez</v>
      </c>
      <c r="D17" t="str">
        <f>_xlfn.TEXTAFTER(B17,",",,,,_xlfn.TEXTAFTER(B17," "))</f>
        <v xml:space="preserve"> Amelia</v>
      </c>
      <c r="E17" t="s">
        <v>108</v>
      </c>
      <c r="F17" t="s">
        <v>16</v>
      </c>
      <c r="G17">
        <v>1244</v>
      </c>
      <c r="H17">
        <v>11118</v>
      </c>
      <c r="I17" s="1" t="s">
        <v>109</v>
      </c>
      <c r="J17" t="s">
        <v>48</v>
      </c>
    </row>
    <row r="18" spans="1:10" ht="30.75">
      <c r="A18" s="2">
        <v>43926</v>
      </c>
      <c r="B18" t="s">
        <v>23</v>
      </c>
      <c r="C18" t="str">
        <f>_xlfn.TEXTBEFORE(B18,",",,,,_xlfn.TEXTBEFORE(B18," "))</f>
        <v>Hernandez</v>
      </c>
      <c r="D18" t="str">
        <f>_xlfn.TEXTAFTER(B18,",",,,,_xlfn.TEXTAFTER(B18," "))</f>
        <v xml:space="preserve"> Benjamin</v>
      </c>
      <c r="E18" t="s">
        <v>23</v>
      </c>
      <c r="F18" t="s">
        <v>16</v>
      </c>
      <c r="G18">
        <v>1245</v>
      </c>
      <c r="H18">
        <v>11005</v>
      </c>
      <c r="I18" s="1" t="s">
        <v>24</v>
      </c>
    </row>
    <row r="19" spans="1:10">
      <c r="A19" s="2">
        <v>43926</v>
      </c>
      <c r="B19" t="s">
        <v>131</v>
      </c>
      <c r="C19" t="str">
        <f>_xlfn.TEXTBEFORE(B19,",",,,,_xlfn.TEXTBEFORE(B19," "))</f>
        <v>Hernandez</v>
      </c>
      <c r="D19" t="str">
        <f>_xlfn.TEXTAFTER(B19,",",,,,_xlfn.TEXTAFTER(B19," "))</f>
        <v xml:space="preserve"> James</v>
      </c>
      <c r="E19" t="s">
        <v>131</v>
      </c>
      <c r="F19" t="s">
        <v>16</v>
      </c>
      <c r="G19">
        <v>1246</v>
      </c>
      <c r="H19">
        <v>11118</v>
      </c>
      <c r="I19" s="1" t="s">
        <v>132</v>
      </c>
    </row>
    <row r="20" spans="1:10" ht="30.75">
      <c r="A20" s="2">
        <v>43944</v>
      </c>
      <c r="B20" t="s">
        <v>149</v>
      </c>
      <c r="C20" t="str">
        <f>_xlfn.TEXTBEFORE(B20,",",,,,_xlfn.TEXTBEFORE(B20," "))</f>
        <v>Jackson</v>
      </c>
      <c r="D20" t="str">
        <f>_xlfn.TEXTAFTER(B20,",",,,,_xlfn.TEXTAFTER(B20," "))</f>
        <v xml:space="preserve"> Masonn</v>
      </c>
      <c r="E20" t="s">
        <v>46</v>
      </c>
      <c r="F20" t="s">
        <v>16</v>
      </c>
      <c r="G20">
        <v>1247</v>
      </c>
      <c r="I20" s="1" t="s">
        <v>47</v>
      </c>
      <c r="J20" t="s">
        <v>48</v>
      </c>
    </row>
    <row r="21" spans="1:10" ht="30.75">
      <c r="A21" s="2">
        <v>43941</v>
      </c>
      <c r="B21" s="1" t="s">
        <v>46</v>
      </c>
      <c r="C21" t="str">
        <f>_xlfn.TEXTBEFORE(B21,",",,,,_xlfn.TEXTBEFORE(B21," "))</f>
        <v>Jackson</v>
      </c>
      <c r="D21" t="str">
        <f>_xlfn.TEXTAFTER(B21,",",,,,_xlfn.TEXTAFTER(B21," "))</f>
        <v xml:space="preserve"> Mason</v>
      </c>
      <c r="E21" t="s">
        <v>46</v>
      </c>
      <c r="F21" t="s">
        <v>18</v>
      </c>
      <c r="G21" t="s">
        <v>49</v>
      </c>
      <c r="I21" s="1" t="s">
        <v>50</v>
      </c>
      <c r="J21" t="s">
        <v>4</v>
      </c>
    </row>
    <row r="22" spans="1:10" ht="60.75">
      <c r="A22" s="2">
        <v>43945</v>
      </c>
      <c r="B22" t="s">
        <v>133</v>
      </c>
      <c r="C22" t="str">
        <f>_xlfn.TEXTBEFORE(B22,",",,,,_xlfn.TEXTBEFORE(B22," "))</f>
        <v>Johnson</v>
      </c>
      <c r="D22" t="str">
        <f>_xlfn.TEXTAFTER(B22,",",,,,_xlfn.TEXTAFTER(B22," "))</f>
        <v xml:space="preserve"> Olivia</v>
      </c>
      <c r="E22" t="s">
        <v>133</v>
      </c>
      <c r="F22" t="s">
        <v>26</v>
      </c>
      <c r="G22" t="s">
        <v>134</v>
      </c>
      <c r="I22" s="1" t="s">
        <v>135</v>
      </c>
      <c r="J22" t="s">
        <v>5</v>
      </c>
    </row>
    <row r="23" spans="1:10" ht="30.75">
      <c r="A23" s="2">
        <v>43927</v>
      </c>
      <c r="B23" t="s">
        <v>110</v>
      </c>
      <c r="C23" t="str">
        <f>_xlfn.TEXTBEFORE(B23,",",,,,_xlfn.TEXTBEFORE(B23," "))</f>
        <v>Jones</v>
      </c>
      <c r="D23" t="str">
        <f>_xlfn.TEXTAFTER(B23,",",,,,_xlfn.TEXTAFTER(B23," "))</f>
        <v xml:space="preserve"> Oliver</v>
      </c>
      <c r="E23" t="s">
        <v>110</v>
      </c>
      <c r="F23" t="s">
        <v>26</v>
      </c>
      <c r="G23" t="s">
        <v>111</v>
      </c>
      <c r="H23">
        <v>11127</v>
      </c>
      <c r="I23" s="1" t="s">
        <v>112</v>
      </c>
      <c r="J23" t="s">
        <v>113</v>
      </c>
    </row>
    <row r="24" spans="1:10" ht="30.75">
      <c r="A24" s="2">
        <v>43927</v>
      </c>
      <c r="B24" t="s">
        <v>51</v>
      </c>
      <c r="C24" t="str">
        <f>_xlfn.TEXTBEFORE(B24,",",,,,_xlfn.TEXTBEFORE(B24," "))</f>
        <v>Lee</v>
      </c>
      <c r="D24" t="str">
        <f>_xlfn.TEXTAFTER(B24,",",,,,_xlfn.TEXTAFTER(B24," "))</f>
        <v xml:space="preserve"> Michael</v>
      </c>
      <c r="E24" t="s">
        <v>51</v>
      </c>
      <c r="F24" t="s">
        <v>26</v>
      </c>
      <c r="G24" t="s">
        <v>52</v>
      </c>
      <c r="H24">
        <v>11120</v>
      </c>
      <c r="I24" s="1" t="s">
        <v>53</v>
      </c>
    </row>
    <row r="25" spans="1:10" ht="30.75">
      <c r="A25" s="2">
        <v>43943</v>
      </c>
      <c r="B25" s="1" t="s">
        <v>51</v>
      </c>
      <c r="C25" t="str">
        <f>_xlfn.TEXTBEFORE(B25,",",,,,_xlfn.TEXTBEFORE(B25," "))</f>
        <v>Lee</v>
      </c>
      <c r="D25" t="str">
        <f>_xlfn.TEXTAFTER(B25,",",,,,_xlfn.TEXTAFTER(B25," "))</f>
        <v xml:space="preserve"> Michael</v>
      </c>
      <c r="E25" t="s">
        <v>51</v>
      </c>
      <c r="F25" t="s">
        <v>18</v>
      </c>
      <c r="G25" t="s">
        <v>54</v>
      </c>
      <c r="I25" s="1" t="s">
        <v>55</v>
      </c>
      <c r="J25" t="s">
        <v>2</v>
      </c>
    </row>
    <row r="26" spans="1:10" ht="30.75">
      <c r="A26" s="2">
        <v>43936</v>
      </c>
      <c r="B26" s="1" t="s">
        <v>150</v>
      </c>
      <c r="C26" t="str">
        <f>_xlfn.TEXTBEFORE(B26,",",,,,_xlfn.TEXTBEFORE(B26," "))</f>
        <v>Lee</v>
      </c>
      <c r="D26" t="str">
        <f>_xlfn.TEXTAFTER(B26,",",,,,_xlfn.TEXTAFTER(B26," "))</f>
        <v xml:space="preserve"> Michel</v>
      </c>
      <c r="E26" t="s">
        <v>51</v>
      </c>
      <c r="F26" t="s">
        <v>26</v>
      </c>
      <c r="G26" t="s">
        <v>56</v>
      </c>
      <c r="H26">
        <v>11153</v>
      </c>
      <c r="I26" s="1" t="s">
        <v>57</v>
      </c>
      <c r="J26" s="1" t="s">
        <v>58</v>
      </c>
    </row>
    <row r="27" spans="1:10" ht="30.75">
      <c r="A27" s="2">
        <v>43927</v>
      </c>
      <c r="B27" t="s">
        <v>84</v>
      </c>
      <c r="C27" t="str">
        <f>_xlfn.TEXTBEFORE(B27,",",,,,_xlfn.TEXTBEFORE(B27," "))</f>
        <v>Lee</v>
      </c>
      <c r="D27" t="str">
        <f>_xlfn.TEXTAFTER(B27,",",,,,_xlfn.TEXTAFTER(B27," "))</f>
        <v xml:space="preserve"> Sophia</v>
      </c>
      <c r="E27" t="s">
        <v>84</v>
      </c>
      <c r="F27" t="s">
        <v>26</v>
      </c>
      <c r="G27" t="s">
        <v>85</v>
      </c>
      <c r="H27">
        <v>11126</v>
      </c>
      <c r="I27" s="1" t="s">
        <v>86</v>
      </c>
      <c r="J27" t="s">
        <v>2</v>
      </c>
    </row>
    <row r="28" spans="1:10" ht="45.75">
      <c r="A28" s="2">
        <v>43928</v>
      </c>
      <c r="B28" t="s">
        <v>25</v>
      </c>
      <c r="C28" t="str">
        <f>_xlfn.TEXTBEFORE(B28,",",,,,_xlfn.TEXTBEFORE(B28," "))</f>
        <v>Lopez</v>
      </c>
      <c r="D28" t="str">
        <f>_xlfn.TEXTAFTER(B28,",",,,,_xlfn.TEXTAFTER(B28," "))</f>
        <v xml:space="preserve"> Isabella</v>
      </c>
      <c r="E28" t="s">
        <v>25</v>
      </c>
      <c r="F28" t="s">
        <v>26</v>
      </c>
      <c r="G28" t="s">
        <v>27</v>
      </c>
      <c r="H28">
        <v>11150</v>
      </c>
      <c r="I28" s="1" t="s">
        <v>28</v>
      </c>
      <c r="J28" t="s">
        <v>29</v>
      </c>
    </row>
    <row r="29" spans="1:10" ht="30.75">
      <c r="A29" s="2">
        <v>43937</v>
      </c>
      <c r="B29" s="1" t="s">
        <v>25</v>
      </c>
      <c r="C29" t="str">
        <f>_xlfn.TEXTBEFORE(B29,",",,,,_xlfn.TEXTBEFORE(B29," "))</f>
        <v>Lopez</v>
      </c>
      <c r="D29" t="str">
        <f>_xlfn.TEXTAFTER(B29,",",,,,_xlfn.TEXTAFTER(B29," "))</f>
        <v xml:space="preserve"> Isabella</v>
      </c>
      <c r="E29" t="s">
        <v>25</v>
      </c>
      <c r="F29" t="s">
        <v>18</v>
      </c>
      <c r="G29" t="s">
        <v>30</v>
      </c>
      <c r="H29">
        <v>11151</v>
      </c>
      <c r="I29" s="1" t="s">
        <v>31</v>
      </c>
      <c r="J29" t="s">
        <v>5</v>
      </c>
    </row>
    <row r="30" spans="1:10" ht="30.75">
      <c r="A30" s="2">
        <v>43942</v>
      </c>
      <c r="B30" s="1" t="s">
        <v>25</v>
      </c>
      <c r="C30" t="str">
        <f>_xlfn.TEXTBEFORE(B30,",",,,,_xlfn.TEXTBEFORE(B30," "))</f>
        <v>Lopez</v>
      </c>
      <c r="D30" t="str">
        <f>_xlfn.TEXTAFTER(B30,",",,,,_xlfn.TEXTAFTER(B30," "))</f>
        <v xml:space="preserve"> Isabella</v>
      </c>
      <c r="E30" t="s">
        <v>25</v>
      </c>
      <c r="F30" t="s">
        <v>18</v>
      </c>
      <c r="G30" t="s">
        <v>32</v>
      </c>
      <c r="H30">
        <v>11173</v>
      </c>
      <c r="I30" s="1" t="s">
        <v>33</v>
      </c>
      <c r="J30" t="s">
        <v>3</v>
      </c>
    </row>
    <row r="31" spans="1:10" ht="30.75">
      <c r="A31" s="2">
        <v>43928</v>
      </c>
      <c r="B31" t="s">
        <v>59</v>
      </c>
      <c r="C31" t="str">
        <f>_xlfn.TEXTBEFORE(B31,",",,,,_xlfn.TEXTBEFORE(B31," "))</f>
        <v>Martin</v>
      </c>
      <c r="D31" t="str">
        <f>_xlfn.TEXTAFTER(B31,",",,,,_xlfn.TEXTAFTER(B31," "))</f>
        <v xml:space="preserve"> Camila</v>
      </c>
      <c r="E31" t="s">
        <v>59</v>
      </c>
      <c r="F31" t="s">
        <v>26</v>
      </c>
      <c r="G31" t="s">
        <v>60</v>
      </c>
      <c r="H31">
        <v>11111</v>
      </c>
      <c r="I31" s="1" t="s">
        <v>61</v>
      </c>
      <c r="J31" t="s">
        <v>3</v>
      </c>
    </row>
    <row r="32" spans="1:10" ht="30.75">
      <c r="A32" s="2">
        <v>43949</v>
      </c>
      <c r="B32" t="s">
        <v>59</v>
      </c>
      <c r="C32" t="str">
        <f>_xlfn.TEXTBEFORE(B32,",",,,,_xlfn.TEXTBEFORE(B32," "))</f>
        <v>Martin</v>
      </c>
      <c r="D32" t="str">
        <f>_xlfn.TEXTAFTER(B32,",",,,,_xlfn.TEXTAFTER(B32," "))</f>
        <v xml:space="preserve"> Camila</v>
      </c>
      <c r="E32" t="s">
        <v>59</v>
      </c>
      <c r="F32" t="s">
        <v>26</v>
      </c>
      <c r="G32" t="s">
        <v>62</v>
      </c>
      <c r="I32" s="1" t="s">
        <v>63</v>
      </c>
      <c r="J32" t="s">
        <v>3</v>
      </c>
    </row>
    <row r="33" spans="1:10" ht="30.75">
      <c r="A33" s="2">
        <v>43936</v>
      </c>
      <c r="B33" s="1" t="s">
        <v>64</v>
      </c>
      <c r="C33" t="str">
        <f>_xlfn.TEXTBEFORE(B33,",",,,,_xlfn.TEXTBEFORE(B33," "))</f>
        <v>Martinez</v>
      </c>
      <c r="D33" t="str">
        <f>_xlfn.TEXTAFTER(B33,",",,,,_xlfn.TEXTAFTER(B33," "))</f>
        <v xml:space="preserve"> Bill</v>
      </c>
      <c r="E33" t="s">
        <v>64</v>
      </c>
      <c r="F33" t="s">
        <v>26</v>
      </c>
      <c r="G33" t="s">
        <v>65</v>
      </c>
      <c r="I33" s="1" t="s">
        <v>66</v>
      </c>
      <c r="J33" t="s">
        <v>5</v>
      </c>
    </row>
    <row r="34" spans="1:10" ht="30.75">
      <c r="A34" s="2">
        <v>43948</v>
      </c>
      <c r="B34" s="1" t="s">
        <v>64</v>
      </c>
      <c r="C34" t="str">
        <f>_xlfn.TEXTBEFORE(B34,",",,,,_xlfn.TEXTBEFORE(B34," "))</f>
        <v>Martinez</v>
      </c>
      <c r="D34" t="str">
        <f>_xlfn.TEXTAFTER(B34,",",,,,_xlfn.TEXTAFTER(B34," "))</f>
        <v xml:space="preserve"> Bill</v>
      </c>
      <c r="E34" t="s">
        <v>64</v>
      </c>
      <c r="F34" t="s">
        <v>18</v>
      </c>
      <c r="G34" t="s">
        <v>67</v>
      </c>
      <c r="H34">
        <v>11205</v>
      </c>
      <c r="I34" s="1" t="s">
        <v>68</v>
      </c>
      <c r="J34" t="s">
        <v>48</v>
      </c>
    </row>
    <row r="35" spans="1:10" ht="30.75">
      <c r="A35" s="2">
        <v>43934</v>
      </c>
      <c r="B35" s="1" t="s">
        <v>34</v>
      </c>
      <c r="C35" t="str">
        <f>_xlfn.TEXTBEFORE(B35,",",,,,_xlfn.TEXTBEFORE(B35," "))</f>
        <v>Martinez</v>
      </c>
      <c r="D35" t="str">
        <f>_xlfn.TEXTAFTER(B35,",",,,,_xlfn.TEXTAFTER(B35," "))</f>
        <v xml:space="preserve"> Sophia</v>
      </c>
      <c r="E35" t="s">
        <v>34</v>
      </c>
      <c r="F35" t="s">
        <v>16</v>
      </c>
      <c r="G35">
        <v>1260</v>
      </c>
      <c r="H35">
        <v>11140</v>
      </c>
      <c r="I35" s="1" t="s">
        <v>35</v>
      </c>
      <c r="J35" t="s">
        <v>5</v>
      </c>
    </row>
    <row r="36" spans="1:10" ht="30.75">
      <c r="A36" s="2">
        <v>43935</v>
      </c>
      <c r="B36" s="1" t="s">
        <v>34</v>
      </c>
      <c r="C36" t="str">
        <f>_xlfn.TEXTBEFORE(B36,",",,,,_xlfn.TEXTBEFORE(B36," "))</f>
        <v>Martinez</v>
      </c>
      <c r="D36" t="str">
        <f>_xlfn.TEXTAFTER(B36,",",,,,_xlfn.TEXTAFTER(B36," "))</f>
        <v xml:space="preserve"> Sophia</v>
      </c>
      <c r="E36" t="s">
        <v>34</v>
      </c>
      <c r="F36" t="s">
        <v>26</v>
      </c>
      <c r="G36" t="s">
        <v>36</v>
      </c>
      <c r="H36">
        <v>11102</v>
      </c>
      <c r="I36" s="1" t="s">
        <v>37</v>
      </c>
      <c r="J36" t="s">
        <v>4</v>
      </c>
    </row>
    <row r="37" spans="1:10" ht="60.75">
      <c r="A37" s="2">
        <v>43951</v>
      </c>
      <c r="B37" t="s">
        <v>34</v>
      </c>
      <c r="C37" t="str">
        <f>_xlfn.TEXTBEFORE(B37,",",,,,_xlfn.TEXTBEFORE(B37," "))</f>
        <v>Martinez</v>
      </c>
      <c r="D37" t="str">
        <f>_xlfn.TEXTAFTER(B37,",",,,,_xlfn.TEXTAFTER(B37," "))</f>
        <v xml:space="preserve"> Sophia</v>
      </c>
      <c r="E37" t="s">
        <v>34</v>
      </c>
      <c r="F37" t="s">
        <v>26</v>
      </c>
      <c r="G37" t="s">
        <v>38</v>
      </c>
      <c r="I37" s="1" t="s">
        <v>39</v>
      </c>
      <c r="J37" t="s">
        <v>3</v>
      </c>
    </row>
    <row r="38" spans="1:10" ht="30.75">
      <c r="A38" s="2">
        <v>43938</v>
      </c>
      <c r="B38" s="1" t="s">
        <v>114</v>
      </c>
      <c r="C38" t="str">
        <f>_xlfn.TEXTBEFORE(B38,",",,,,_xlfn.TEXTBEFORE(B38," "))</f>
        <v>Miller</v>
      </c>
      <c r="D38" t="str">
        <f>_xlfn.TEXTAFTER(B38,",",,,,_xlfn.TEXTAFTER(B38," "))</f>
        <v xml:space="preserve"> Elijah</v>
      </c>
      <c r="E38" t="s">
        <v>114</v>
      </c>
      <c r="F38" t="s">
        <v>18</v>
      </c>
      <c r="G38" t="s">
        <v>115</v>
      </c>
      <c r="H38">
        <v>11188</v>
      </c>
      <c r="I38" s="3" t="s">
        <v>116</v>
      </c>
      <c r="J38" s="1" t="s">
        <v>117</v>
      </c>
    </row>
    <row r="39" spans="1:10" ht="30.75">
      <c r="A39" s="2">
        <v>43943</v>
      </c>
      <c r="B39" s="1" t="s">
        <v>114</v>
      </c>
      <c r="C39" t="str">
        <f>_xlfn.TEXTBEFORE(B39,",",,,,_xlfn.TEXTBEFORE(B39," "))</f>
        <v>Miller</v>
      </c>
      <c r="D39" t="str">
        <f>_xlfn.TEXTAFTER(B39,",",,,,_xlfn.TEXTAFTER(B39," "))</f>
        <v xml:space="preserve"> Elijah</v>
      </c>
      <c r="E39" t="s">
        <v>114</v>
      </c>
      <c r="F39" t="s">
        <v>18</v>
      </c>
      <c r="G39" t="s">
        <v>118</v>
      </c>
      <c r="I39" s="1" t="s">
        <v>119</v>
      </c>
      <c r="J39" t="s">
        <v>4</v>
      </c>
    </row>
    <row r="40" spans="1:10" ht="30.75">
      <c r="A40" s="2">
        <v>43948</v>
      </c>
      <c r="B40" s="1" t="s">
        <v>114</v>
      </c>
      <c r="C40" t="str">
        <f>_xlfn.TEXTBEFORE(B40,",",,,,_xlfn.TEXTBEFORE(B40," "))</f>
        <v>Miller</v>
      </c>
      <c r="D40" t="str">
        <f>_xlfn.TEXTAFTER(B40,",",,,,_xlfn.TEXTAFTER(B40," "))</f>
        <v xml:space="preserve"> Elijah</v>
      </c>
      <c r="E40" t="s">
        <v>114</v>
      </c>
      <c r="F40" t="s">
        <v>18</v>
      </c>
      <c r="G40" t="s">
        <v>120</v>
      </c>
      <c r="H40">
        <v>11157</v>
      </c>
      <c r="I40" s="1" t="s">
        <v>121</v>
      </c>
      <c r="J40" t="s">
        <v>4</v>
      </c>
    </row>
    <row r="41" spans="1:10" ht="30.75">
      <c r="A41" s="2">
        <v>43929</v>
      </c>
      <c r="B41" t="s">
        <v>151</v>
      </c>
      <c r="C41" t="str">
        <f>_xlfn.TEXTBEFORE(B41,",",,,,_xlfn.TEXTBEFORE(B41," "))</f>
        <v>Millerr</v>
      </c>
      <c r="D41" t="str">
        <f>_xlfn.TEXTAFTER(B41,",",,,,_xlfn.TEXTAFTER(B41," "))</f>
        <v xml:space="preserve"> Elijah</v>
      </c>
      <c r="E41" t="s">
        <v>114</v>
      </c>
      <c r="F41" t="s">
        <v>26</v>
      </c>
      <c r="G41" t="s">
        <v>122</v>
      </c>
      <c r="H41">
        <v>11149</v>
      </c>
      <c r="I41" s="1" t="s">
        <v>123</v>
      </c>
      <c r="J41" t="s">
        <v>4</v>
      </c>
    </row>
    <row r="42" spans="1:10" ht="30.75">
      <c r="A42" s="2">
        <v>43929</v>
      </c>
      <c r="B42" t="s">
        <v>69</v>
      </c>
      <c r="C42" t="str">
        <f>_xlfn.TEXTBEFORE(B42,",",,,,_xlfn.TEXTBEFORE(B42," "))</f>
        <v>Moore</v>
      </c>
      <c r="D42" t="str">
        <f>_xlfn.TEXTAFTER(B42,",",,,,_xlfn.TEXTAFTER(B42," "))</f>
        <v xml:space="preserve"> Harper</v>
      </c>
      <c r="E42" t="s">
        <v>69</v>
      </c>
      <c r="F42" t="s">
        <v>26</v>
      </c>
      <c r="G42" t="s">
        <v>70</v>
      </c>
      <c r="H42">
        <v>11151</v>
      </c>
      <c r="I42" s="1" t="s">
        <v>71</v>
      </c>
      <c r="J42" t="s">
        <v>5</v>
      </c>
    </row>
    <row r="43" spans="1:10">
      <c r="A43" s="2">
        <v>43930</v>
      </c>
      <c r="B43" t="s">
        <v>40</v>
      </c>
      <c r="C43" t="str">
        <f>_xlfn.TEXTBEFORE(B43,",",,,,_xlfn.TEXTBEFORE(B43," "))</f>
        <v>Rodriguez</v>
      </c>
      <c r="D43" t="str">
        <f>_xlfn.TEXTAFTER(B43,",",,,,_xlfn.TEXTAFTER(B43," "))</f>
        <v xml:space="preserve"> William</v>
      </c>
      <c r="E43" t="s">
        <v>40</v>
      </c>
      <c r="F43" t="s">
        <v>26</v>
      </c>
      <c r="G43" t="s">
        <v>41</v>
      </c>
      <c r="H43">
        <v>11148</v>
      </c>
      <c r="I43" t="s">
        <v>42</v>
      </c>
    </row>
    <row r="44" spans="1:10" ht="30.75">
      <c r="A44" s="2">
        <v>43950</v>
      </c>
      <c r="B44" s="1" t="s">
        <v>40</v>
      </c>
      <c r="C44" t="str">
        <f>_xlfn.TEXTBEFORE(B44,",",,,,_xlfn.TEXTBEFORE(B44," "))</f>
        <v>Rodriguez</v>
      </c>
      <c r="D44" t="str">
        <f>_xlfn.TEXTAFTER(B44,",",,,,_xlfn.TEXTAFTER(B44," "))</f>
        <v xml:space="preserve"> William</v>
      </c>
      <c r="E44" t="s">
        <v>40</v>
      </c>
      <c r="F44" t="s">
        <v>18</v>
      </c>
      <c r="G44" t="s">
        <v>43</v>
      </c>
      <c r="I44" s="1" t="s">
        <v>44</v>
      </c>
      <c r="J44" s="1" t="s">
        <v>45</v>
      </c>
    </row>
    <row r="45" spans="1:10">
      <c r="A45" s="2">
        <v>43930</v>
      </c>
      <c r="B45" t="s">
        <v>136</v>
      </c>
      <c r="C45" t="str">
        <f>_xlfn.TEXTBEFORE(B45,",",,,,_xlfn.TEXTBEFORE(B45," "))</f>
        <v>Smith</v>
      </c>
      <c r="D45" t="str">
        <f>_xlfn.TEXTAFTER(B45,",",,,,_xlfn.TEXTAFTER(B45," "))</f>
        <v xml:space="preserve"> Liam</v>
      </c>
      <c r="E45" t="s">
        <v>136</v>
      </c>
      <c r="F45" t="s">
        <v>26</v>
      </c>
      <c r="G45" t="s">
        <v>137</v>
      </c>
      <c r="H45">
        <v>11136</v>
      </c>
      <c r="I45" s="1" t="s">
        <v>138</v>
      </c>
    </row>
    <row r="46" spans="1:10" ht="30.75">
      <c r="A46" s="2">
        <v>43936</v>
      </c>
      <c r="B46" s="1" t="s">
        <v>136</v>
      </c>
      <c r="C46" t="str">
        <f>_xlfn.TEXTBEFORE(B46,",",,,,_xlfn.TEXTBEFORE(B46," "))</f>
        <v>Smith</v>
      </c>
      <c r="D46" t="str">
        <f>_xlfn.TEXTAFTER(B46,",",,,,_xlfn.TEXTAFTER(B46," "))</f>
        <v xml:space="preserve"> Liam</v>
      </c>
      <c r="E46" t="s">
        <v>136</v>
      </c>
      <c r="F46" t="s">
        <v>26</v>
      </c>
      <c r="G46" t="s">
        <v>139</v>
      </c>
      <c r="H46">
        <v>11115</v>
      </c>
      <c r="I46" s="1" t="s">
        <v>140</v>
      </c>
      <c r="J46" t="s">
        <v>4</v>
      </c>
    </row>
    <row r="47" spans="1:10">
      <c r="A47" s="2">
        <v>43930</v>
      </c>
      <c r="B47" t="s">
        <v>87</v>
      </c>
      <c r="C47" t="str">
        <f>_xlfn.TEXTBEFORE(B47,",",,,,_xlfn.TEXTBEFORE(B47," "))</f>
        <v>Taylor</v>
      </c>
      <c r="D47" t="str">
        <f>_xlfn.TEXTAFTER(B47,",",,,,_xlfn.TEXTAFTER(B47," "))</f>
        <v xml:space="preserve"> Alexander</v>
      </c>
      <c r="E47" t="s">
        <v>87</v>
      </c>
      <c r="F47" t="s">
        <v>26</v>
      </c>
      <c r="G47" t="s">
        <v>88</v>
      </c>
      <c r="H47" s="1" t="s">
        <v>89</v>
      </c>
      <c r="I47" t="s">
        <v>90</v>
      </c>
    </row>
    <row r="48" spans="1:10" ht="30.75">
      <c r="A48" s="2">
        <v>43931</v>
      </c>
      <c r="B48" t="s">
        <v>91</v>
      </c>
      <c r="C48" t="str">
        <f>_xlfn.TEXTBEFORE(B48,",",,,,_xlfn.TEXTBEFORE(B48," "))</f>
        <v>Thomas</v>
      </c>
      <c r="D48" t="str">
        <f>_xlfn.TEXTAFTER(B48,",",,,,_xlfn.TEXTAFTER(B48," "))</f>
        <v xml:space="preserve"> Evelyn</v>
      </c>
      <c r="E48" t="s">
        <v>91</v>
      </c>
      <c r="F48" t="s">
        <v>18</v>
      </c>
      <c r="G48" t="s">
        <v>92</v>
      </c>
      <c r="H48">
        <v>11114</v>
      </c>
      <c r="I48" s="1" t="s">
        <v>93</v>
      </c>
      <c r="J48" t="s">
        <v>94</v>
      </c>
    </row>
    <row r="49" spans="1:10" ht="30.75">
      <c r="A49" s="2">
        <v>43937</v>
      </c>
      <c r="B49" s="1" t="s">
        <v>91</v>
      </c>
      <c r="C49" t="str">
        <f>_xlfn.TEXTBEFORE(B49,",",,,,_xlfn.TEXTBEFORE(B49," "))</f>
        <v>Thomas</v>
      </c>
      <c r="D49" t="str">
        <f>_xlfn.TEXTAFTER(B49,",",,,,_xlfn.TEXTAFTER(B49," "))</f>
        <v xml:space="preserve"> Evelyn</v>
      </c>
      <c r="E49" t="s">
        <v>91</v>
      </c>
      <c r="F49" t="s">
        <v>18</v>
      </c>
      <c r="G49" t="s">
        <v>95</v>
      </c>
      <c r="I49" s="1" t="s">
        <v>96</v>
      </c>
      <c r="J49" t="s">
        <v>48</v>
      </c>
    </row>
    <row r="50" spans="1:10" ht="30.75">
      <c r="A50" s="2">
        <v>43932</v>
      </c>
      <c r="B50" t="s">
        <v>141</v>
      </c>
      <c r="C50" t="str">
        <f>_xlfn.TEXTBEFORE(B50,",",,,,_xlfn.TEXTBEFORE(B50," "))</f>
        <v>Williams</v>
      </c>
      <c r="D50" t="str">
        <f>_xlfn.TEXTAFTER(B50,",",,,,_xlfn.TEXTAFTER(B50," "))</f>
        <v xml:space="preserve"> Noah</v>
      </c>
      <c r="E50" t="s">
        <v>141</v>
      </c>
      <c r="F50" t="s">
        <v>18</v>
      </c>
      <c r="G50" t="s">
        <v>142</v>
      </c>
      <c r="H50">
        <v>11163</v>
      </c>
      <c r="I50" s="1" t="s">
        <v>143</v>
      </c>
      <c r="J50" t="s">
        <v>3</v>
      </c>
    </row>
    <row r="51" spans="1:10" ht="30.75">
      <c r="A51" s="2">
        <v>43949</v>
      </c>
      <c r="B51" t="s">
        <v>141</v>
      </c>
      <c r="C51" t="str">
        <f>_xlfn.TEXTBEFORE(B51,",",,,,_xlfn.TEXTBEFORE(B51," "))</f>
        <v>Williams</v>
      </c>
      <c r="D51" t="str">
        <f>_xlfn.TEXTAFTER(B51,",",,,,_xlfn.TEXTAFTER(B51," "))</f>
        <v xml:space="preserve"> Noah</v>
      </c>
      <c r="E51" t="s">
        <v>141</v>
      </c>
      <c r="F51" t="s">
        <v>18</v>
      </c>
      <c r="G51" t="s">
        <v>142</v>
      </c>
      <c r="H51">
        <v>11222</v>
      </c>
      <c r="I51" s="1" t="s">
        <v>143</v>
      </c>
    </row>
    <row r="52" spans="1:10" ht="30.75">
      <c r="A52" s="2">
        <v>43933</v>
      </c>
      <c r="B52" t="s">
        <v>97</v>
      </c>
      <c r="C52" t="str">
        <f>_xlfn.TEXTBEFORE(B52,",",,,,_xlfn.TEXTBEFORE(B52," "))</f>
        <v>Wilson</v>
      </c>
      <c r="D52" t="str">
        <f>_xlfn.TEXTAFTER(B52,",",,,,_xlfn.TEXTAFTER(B52," "))</f>
        <v xml:space="preserve"> Mia</v>
      </c>
      <c r="E52" t="s">
        <v>97</v>
      </c>
      <c r="F52" t="s">
        <v>18</v>
      </c>
      <c r="G52" t="s">
        <v>98</v>
      </c>
      <c r="I52" s="1" t="s">
        <v>99</v>
      </c>
      <c r="J52" t="s">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F13DA-AE1C-4F7F-9452-00FD12AE9960}">
  <dimension ref="A1:B19"/>
  <sheetViews>
    <sheetView workbookViewId="0">
      <selection activeCell="A9" sqref="A9:A13"/>
    </sheetView>
  </sheetViews>
  <sheetFormatPr defaultRowHeight="15"/>
  <cols>
    <col min="1" max="1" width="22.85546875" bestFit="1" customWidth="1"/>
    <col min="2" max="2" width="36.42578125" bestFit="1" customWidth="1"/>
  </cols>
  <sheetData>
    <row r="1" spans="1:2">
      <c r="A1" t="s">
        <v>152</v>
      </c>
      <c r="B1">
        <f>COUNT('April Cleaned Data'!A:A)-1</f>
        <v>50</v>
      </c>
    </row>
    <row r="2" spans="1:2">
      <c r="A2" t="s">
        <v>153</v>
      </c>
      <c r="B2">
        <f>COUNTIF('April Cleaned Data'!J:J, "&lt;&gt;")</f>
        <v>41</v>
      </c>
    </row>
    <row r="3" spans="1:2">
      <c r="A3" t="s">
        <v>154</v>
      </c>
      <c r="B3">
        <f>B1-B2</f>
        <v>9</v>
      </c>
    </row>
    <row r="8" spans="1:2">
      <c r="A8" s="1" t="s">
        <v>48</v>
      </c>
      <c r="B8">
        <f>COUNTIF('April Cleaned Data'!J:J, "*"&amp;A8&amp;"*")</f>
        <v>5</v>
      </c>
    </row>
    <row r="9" spans="1:2">
      <c r="A9" t="s">
        <v>2</v>
      </c>
      <c r="B9">
        <f>COUNTIF('April Cleaned Data'!J:J, "*"&amp;A9&amp;"*")</f>
        <v>12</v>
      </c>
    </row>
    <row r="10" spans="1:2">
      <c r="A10" t="s">
        <v>3</v>
      </c>
      <c r="B10">
        <f>COUNTIF('April Cleaned Data'!J:J, "*"&amp;A10&amp;"*")</f>
        <v>11</v>
      </c>
    </row>
    <row r="11" spans="1:2">
      <c r="A11" t="s">
        <v>4</v>
      </c>
      <c r="B11">
        <f>COUNTIF('April Cleaned Data'!J:J, "*"&amp;A11&amp;"*")</f>
        <v>16</v>
      </c>
    </row>
    <row r="12" spans="1:2">
      <c r="A12" t="s">
        <v>5</v>
      </c>
      <c r="B12">
        <f>COUNTIF('April Cleaned Data'!J:J, "*"&amp;A12&amp;"*")</f>
        <v>8</v>
      </c>
    </row>
    <row r="13" spans="1:2">
      <c r="A13" s="1"/>
    </row>
    <row r="16" spans="1:2">
      <c r="A16" s="1"/>
    </row>
    <row r="19" spans="1:1">
      <c r="A19" s="1"/>
    </row>
  </sheetData>
  <sortState xmlns:xlrd2="http://schemas.microsoft.com/office/spreadsheetml/2017/richdata2" ref="A9:B12">
    <sortCondition ref="A9:A12"/>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6E8C7-796A-4577-84EE-8443F56D3752}">
  <dimension ref="A1:H52"/>
  <sheetViews>
    <sheetView topLeftCell="A40" workbookViewId="0">
      <selection activeCell="B48" sqref="B48"/>
    </sheetView>
  </sheetViews>
  <sheetFormatPr defaultRowHeight="15"/>
  <cols>
    <col min="1" max="1" width="10.140625" bestFit="1" customWidth="1"/>
    <col min="2" max="2" width="19.5703125" bestFit="1" customWidth="1"/>
    <col min="4" max="4" width="10" bestFit="1" customWidth="1"/>
    <col min="5" max="5" width="12.42578125" customWidth="1"/>
    <col min="6" max="6" width="21.7109375" customWidth="1"/>
    <col min="7" max="7" width="110.28515625" customWidth="1"/>
    <col min="8" max="8" width="36.5703125" customWidth="1"/>
    <col min="9" max="9" width="18.85546875" bestFit="1" customWidth="1"/>
    <col min="10" max="10" width="8.85546875" bestFit="1" customWidth="1"/>
    <col min="11" max="11" width="17.85546875" bestFit="1" customWidth="1"/>
    <col min="12" max="12" width="22.140625" bestFit="1" customWidth="1"/>
    <col min="13" max="13" width="12.28515625" bestFit="1" customWidth="1"/>
  </cols>
  <sheetData>
    <row r="1" spans="1:8">
      <c r="A1" t="s">
        <v>9</v>
      </c>
      <c r="B1" t="s">
        <v>0</v>
      </c>
      <c r="C1" t="s">
        <v>10</v>
      </c>
      <c r="D1" t="s">
        <v>11</v>
      </c>
      <c r="E1" t="s">
        <v>12</v>
      </c>
      <c r="F1" s="1" t="s">
        <v>155</v>
      </c>
      <c r="G1" t="s">
        <v>13</v>
      </c>
      <c r="H1" t="s">
        <v>14</v>
      </c>
    </row>
    <row r="2" spans="1:8">
      <c r="A2" s="2">
        <v>43923</v>
      </c>
      <c r="B2" t="s">
        <v>147</v>
      </c>
      <c r="C2" t="s">
        <v>26</v>
      </c>
      <c r="D2" t="s">
        <v>73</v>
      </c>
      <c r="E2">
        <v>110025</v>
      </c>
      <c r="F2" t="s">
        <v>156</v>
      </c>
      <c r="G2" s="1" t="s">
        <v>74</v>
      </c>
      <c r="H2" s="1" t="s">
        <v>75</v>
      </c>
    </row>
    <row r="3" spans="1:8">
      <c r="A3" s="2">
        <v>43923</v>
      </c>
      <c r="B3" t="s">
        <v>124</v>
      </c>
      <c r="C3" t="s">
        <v>26</v>
      </c>
      <c r="D3" t="s">
        <v>125</v>
      </c>
      <c r="F3" t="s">
        <v>157</v>
      </c>
      <c r="G3" s="1" t="s">
        <v>126</v>
      </c>
      <c r="H3" s="1"/>
    </row>
    <row r="4" spans="1:8" ht="45.75">
      <c r="A4" s="2">
        <v>43924</v>
      </c>
      <c r="B4" t="s">
        <v>100</v>
      </c>
      <c r="C4" t="s">
        <v>18</v>
      </c>
      <c r="D4" t="s">
        <v>101</v>
      </c>
      <c r="F4" t="s">
        <v>157</v>
      </c>
      <c r="G4" s="1" t="s">
        <v>102</v>
      </c>
      <c r="H4" t="s">
        <v>75</v>
      </c>
    </row>
    <row r="5" spans="1:8">
      <c r="A5" s="2">
        <v>43924</v>
      </c>
      <c r="B5" t="s">
        <v>105</v>
      </c>
      <c r="C5" t="s">
        <v>18</v>
      </c>
      <c r="D5" t="s">
        <v>106</v>
      </c>
      <c r="F5" t="s">
        <v>158</v>
      </c>
      <c r="G5" s="1" t="s">
        <v>107</v>
      </c>
      <c r="H5" s="1" t="s">
        <v>2</v>
      </c>
    </row>
    <row r="6" spans="1:8" ht="28.5" customHeight="1">
      <c r="A6" s="2">
        <v>43926</v>
      </c>
      <c r="B6" t="s">
        <v>108</v>
      </c>
      <c r="C6" t="s">
        <v>16</v>
      </c>
      <c r="D6">
        <v>1244</v>
      </c>
      <c r="E6">
        <v>11118</v>
      </c>
      <c r="F6" t="s">
        <v>156</v>
      </c>
      <c r="G6" s="1" t="s">
        <v>109</v>
      </c>
      <c r="H6" t="s">
        <v>48</v>
      </c>
    </row>
    <row r="7" spans="1:8" ht="17.25" customHeight="1">
      <c r="A7" s="2">
        <v>43926</v>
      </c>
      <c r="B7" t="s">
        <v>23</v>
      </c>
      <c r="C7" t="s">
        <v>16</v>
      </c>
      <c r="D7">
        <v>1245</v>
      </c>
      <c r="E7">
        <v>11005</v>
      </c>
      <c r="F7" t="s">
        <v>159</v>
      </c>
      <c r="G7" s="1" t="s">
        <v>24</v>
      </c>
    </row>
    <row r="8" spans="1:8">
      <c r="A8" s="2">
        <v>43926</v>
      </c>
      <c r="B8" t="s">
        <v>131</v>
      </c>
      <c r="C8" t="s">
        <v>16</v>
      </c>
      <c r="D8">
        <v>1246</v>
      </c>
      <c r="E8">
        <v>11118</v>
      </c>
      <c r="F8" t="s">
        <v>156</v>
      </c>
      <c r="G8" s="1" t="s">
        <v>132</v>
      </c>
    </row>
    <row r="9" spans="1:8" ht="30.75">
      <c r="A9" s="2">
        <v>43927</v>
      </c>
      <c r="B9" t="s">
        <v>110</v>
      </c>
      <c r="C9" t="s">
        <v>26</v>
      </c>
      <c r="D9" t="s">
        <v>111</v>
      </c>
      <c r="E9">
        <v>11127</v>
      </c>
      <c r="F9" t="s">
        <v>160</v>
      </c>
      <c r="G9" s="1" t="s">
        <v>112</v>
      </c>
      <c r="H9" t="s">
        <v>113</v>
      </c>
    </row>
    <row r="10" spans="1:8" ht="30.75">
      <c r="A10" s="2">
        <v>43927</v>
      </c>
      <c r="B10" t="s">
        <v>51</v>
      </c>
      <c r="C10" t="s">
        <v>26</v>
      </c>
      <c r="D10" t="s">
        <v>52</v>
      </c>
      <c r="E10">
        <v>11120</v>
      </c>
      <c r="F10" t="s">
        <v>161</v>
      </c>
      <c r="G10" s="1" t="s">
        <v>53</v>
      </c>
    </row>
    <row r="11" spans="1:8" ht="30.75">
      <c r="A11" s="2">
        <v>43927</v>
      </c>
      <c r="B11" t="s">
        <v>84</v>
      </c>
      <c r="C11" t="s">
        <v>26</v>
      </c>
      <c r="D11" t="s">
        <v>85</v>
      </c>
      <c r="E11">
        <v>11126</v>
      </c>
      <c r="F11" t="s">
        <v>159</v>
      </c>
      <c r="G11" s="1" t="s">
        <v>86</v>
      </c>
      <c r="H11" t="s">
        <v>2</v>
      </c>
    </row>
    <row r="12" spans="1:8" ht="45.75">
      <c r="A12" s="2">
        <v>43928</v>
      </c>
      <c r="B12" t="s">
        <v>25</v>
      </c>
      <c r="C12" t="s">
        <v>26</v>
      </c>
      <c r="D12" t="s">
        <v>27</v>
      </c>
      <c r="E12">
        <v>11150</v>
      </c>
      <c r="F12" t="s">
        <v>162</v>
      </c>
      <c r="G12" s="1" t="s">
        <v>28</v>
      </c>
      <c r="H12" t="s">
        <v>29</v>
      </c>
    </row>
    <row r="13" spans="1:8" ht="30.75">
      <c r="A13" s="2">
        <v>43928</v>
      </c>
      <c r="B13" t="s">
        <v>59</v>
      </c>
      <c r="C13" t="s">
        <v>26</v>
      </c>
      <c r="D13" t="s">
        <v>60</v>
      </c>
      <c r="E13">
        <v>11111</v>
      </c>
      <c r="F13" t="s">
        <v>163</v>
      </c>
      <c r="G13" s="1" t="s">
        <v>61</v>
      </c>
      <c r="H13" t="s">
        <v>3</v>
      </c>
    </row>
    <row r="14" spans="1:8" ht="30.75">
      <c r="A14" s="2">
        <v>43929</v>
      </c>
      <c r="B14" t="s">
        <v>151</v>
      </c>
      <c r="C14" t="s">
        <v>26</v>
      </c>
      <c r="D14" t="s">
        <v>122</v>
      </c>
      <c r="E14">
        <v>11149</v>
      </c>
      <c r="F14" t="s">
        <v>156</v>
      </c>
      <c r="G14" s="1" t="s">
        <v>123</v>
      </c>
      <c r="H14" t="s">
        <v>4</v>
      </c>
    </row>
    <row r="15" spans="1:8" ht="30.75">
      <c r="A15" s="2">
        <v>43929</v>
      </c>
      <c r="B15" t="s">
        <v>69</v>
      </c>
      <c r="C15" t="s">
        <v>26</v>
      </c>
      <c r="D15" t="s">
        <v>70</v>
      </c>
      <c r="E15">
        <v>11151</v>
      </c>
      <c r="F15" t="s">
        <v>164</v>
      </c>
      <c r="G15" s="1" t="s">
        <v>71</v>
      </c>
      <c r="H15" t="s">
        <v>5</v>
      </c>
    </row>
    <row r="16" spans="1:8">
      <c r="A16" s="2">
        <v>43930</v>
      </c>
      <c r="B16" t="s">
        <v>40</v>
      </c>
      <c r="C16" t="s">
        <v>26</v>
      </c>
      <c r="D16" t="s">
        <v>41</v>
      </c>
      <c r="E16">
        <v>11148</v>
      </c>
      <c r="F16" t="s">
        <v>156</v>
      </c>
      <c r="G16" t="s">
        <v>42</v>
      </c>
    </row>
    <row r="17" spans="1:8">
      <c r="A17" s="2">
        <v>43930</v>
      </c>
      <c r="B17" t="s">
        <v>136</v>
      </c>
      <c r="C17" t="s">
        <v>26</v>
      </c>
      <c r="D17" t="s">
        <v>137</v>
      </c>
      <c r="E17">
        <v>11136</v>
      </c>
      <c r="F17" t="s">
        <v>161</v>
      </c>
      <c r="G17" s="1" t="s">
        <v>138</v>
      </c>
    </row>
    <row r="18" spans="1:8">
      <c r="A18" s="2">
        <v>43930</v>
      </c>
      <c r="B18" t="s">
        <v>87</v>
      </c>
      <c r="C18" t="s">
        <v>26</v>
      </c>
      <c r="D18" t="s">
        <v>88</v>
      </c>
      <c r="E18" s="1" t="s">
        <v>89</v>
      </c>
      <c r="F18" t="s">
        <v>160</v>
      </c>
      <c r="G18" t="s">
        <v>90</v>
      </c>
    </row>
    <row r="19" spans="1:8" ht="30.75">
      <c r="A19" s="2">
        <v>43931</v>
      </c>
      <c r="B19" t="s">
        <v>91</v>
      </c>
      <c r="C19" t="s">
        <v>18</v>
      </c>
      <c r="D19" t="s">
        <v>92</v>
      </c>
      <c r="E19">
        <v>11114</v>
      </c>
      <c r="F19" t="s">
        <v>163</v>
      </c>
      <c r="G19" s="1" t="s">
        <v>93</v>
      </c>
      <c r="H19" t="s">
        <v>94</v>
      </c>
    </row>
    <row r="20" spans="1:8" ht="30.75">
      <c r="A20" s="2">
        <v>43932</v>
      </c>
      <c r="B20" t="s">
        <v>141</v>
      </c>
      <c r="C20" t="s">
        <v>18</v>
      </c>
      <c r="D20" t="s">
        <v>142</v>
      </c>
      <c r="E20">
        <v>11163</v>
      </c>
      <c r="F20" t="s">
        <v>162</v>
      </c>
      <c r="G20" s="1" t="s">
        <v>143</v>
      </c>
      <c r="H20" t="s">
        <v>3</v>
      </c>
    </row>
    <row r="21" spans="1:8" ht="30.75">
      <c r="A21" s="2">
        <v>43933</v>
      </c>
      <c r="B21" t="s">
        <v>97</v>
      </c>
      <c r="C21" t="s">
        <v>18</v>
      </c>
      <c r="D21" t="s">
        <v>98</v>
      </c>
      <c r="F21" t="s">
        <v>165</v>
      </c>
      <c r="G21" s="1" t="s">
        <v>99</v>
      </c>
      <c r="H21" t="s">
        <v>4</v>
      </c>
    </row>
    <row r="22" spans="1:8" ht="30.75">
      <c r="A22" s="2">
        <v>43933</v>
      </c>
      <c r="B22" t="s">
        <v>72</v>
      </c>
      <c r="C22" t="s">
        <v>18</v>
      </c>
      <c r="D22" t="s">
        <v>76</v>
      </c>
      <c r="F22" t="s">
        <v>157</v>
      </c>
      <c r="G22" s="1" t="s">
        <v>77</v>
      </c>
      <c r="H22" t="s">
        <v>5</v>
      </c>
    </row>
    <row r="23" spans="1:8" ht="30.75">
      <c r="A23" s="2">
        <v>43933</v>
      </c>
      <c r="B23" t="s">
        <v>72</v>
      </c>
      <c r="C23" t="s">
        <v>18</v>
      </c>
      <c r="D23" t="s">
        <v>78</v>
      </c>
      <c r="E23">
        <v>11155</v>
      </c>
      <c r="F23" t="s">
        <v>164</v>
      </c>
      <c r="G23" s="1" t="s">
        <v>79</v>
      </c>
      <c r="H23" t="s">
        <v>4</v>
      </c>
    </row>
    <row r="24" spans="1:8" ht="30.75">
      <c r="A24" s="2">
        <v>43934</v>
      </c>
      <c r="B24" s="1" t="s">
        <v>124</v>
      </c>
      <c r="C24" t="s">
        <v>16</v>
      </c>
      <c r="D24">
        <v>1258</v>
      </c>
      <c r="E24">
        <v>11156</v>
      </c>
      <c r="F24" t="s">
        <v>166</v>
      </c>
      <c r="G24" s="1" t="s">
        <v>128</v>
      </c>
      <c r="H24" t="s">
        <v>3</v>
      </c>
    </row>
    <row r="25" spans="1:8" ht="30.75">
      <c r="A25" s="2">
        <v>43934</v>
      </c>
      <c r="B25" s="1" t="s">
        <v>15</v>
      </c>
      <c r="C25" t="s">
        <v>16</v>
      </c>
      <c r="D25">
        <v>1259</v>
      </c>
      <c r="E25">
        <v>11147</v>
      </c>
      <c r="F25" t="s">
        <v>159</v>
      </c>
      <c r="G25" s="1" t="s">
        <v>17</v>
      </c>
      <c r="H25" t="s">
        <v>4</v>
      </c>
    </row>
    <row r="26" spans="1:8" ht="30.75">
      <c r="A26" s="2">
        <v>43934</v>
      </c>
      <c r="B26" s="1" t="s">
        <v>34</v>
      </c>
      <c r="C26" t="s">
        <v>16</v>
      </c>
      <c r="D26">
        <v>1260</v>
      </c>
      <c r="E26">
        <v>11140</v>
      </c>
      <c r="F26" t="s">
        <v>160</v>
      </c>
      <c r="G26" s="1" t="s">
        <v>35</v>
      </c>
      <c r="H26" t="s">
        <v>5</v>
      </c>
    </row>
    <row r="27" spans="1:8" ht="30.75">
      <c r="A27" s="2">
        <v>43935</v>
      </c>
      <c r="B27" s="1" t="s">
        <v>34</v>
      </c>
      <c r="C27" t="s">
        <v>26</v>
      </c>
      <c r="D27" t="s">
        <v>36</v>
      </c>
      <c r="E27">
        <v>11102</v>
      </c>
      <c r="F27" t="s">
        <v>156</v>
      </c>
      <c r="G27" s="1" t="s">
        <v>37</v>
      </c>
      <c r="H27" t="s">
        <v>4</v>
      </c>
    </row>
    <row r="28" spans="1:8" ht="30.75">
      <c r="A28" s="2">
        <v>43935</v>
      </c>
      <c r="B28" s="1" t="s">
        <v>72</v>
      </c>
      <c r="C28" t="s">
        <v>26</v>
      </c>
      <c r="D28" t="s">
        <v>80</v>
      </c>
      <c r="E28">
        <v>11146</v>
      </c>
      <c r="F28" t="s">
        <v>163</v>
      </c>
      <c r="G28" s="1" t="s">
        <v>81</v>
      </c>
    </row>
    <row r="29" spans="1:8" ht="45.75">
      <c r="A29" s="2">
        <v>43935</v>
      </c>
      <c r="B29" s="1" t="s">
        <v>124</v>
      </c>
      <c r="C29" t="s">
        <v>26</v>
      </c>
      <c r="D29" t="s">
        <v>129</v>
      </c>
      <c r="E29">
        <v>11163</v>
      </c>
      <c r="F29" t="s">
        <v>156</v>
      </c>
      <c r="G29" s="1" t="s">
        <v>130</v>
      </c>
      <c r="H29" s="1" t="s">
        <v>45</v>
      </c>
    </row>
    <row r="30" spans="1:8" ht="30.75">
      <c r="A30" s="2">
        <v>43936</v>
      </c>
      <c r="B30" s="1" t="s">
        <v>150</v>
      </c>
      <c r="C30" t="s">
        <v>26</v>
      </c>
      <c r="D30" t="s">
        <v>56</v>
      </c>
      <c r="E30">
        <v>11153</v>
      </c>
      <c r="F30" t="s">
        <v>160</v>
      </c>
      <c r="G30" s="1" t="s">
        <v>57</v>
      </c>
      <c r="H30" s="1" t="s">
        <v>58</v>
      </c>
    </row>
    <row r="31" spans="1:8" ht="30.75">
      <c r="A31" s="2">
        <v>43936</v>
      </c>
      <c r="B31" s="1" t="s">
        <v>100</v>
      </c>
      <c r="C31" t="s">
        <v>26</v>
      </c>
      <c r="D31" t="s">
        <v>103</v>
      </c>
      <c r="E31">
        <v>11170</v>
      </c>
      <c r="F31" t="s">
        <v>162</v>
      </c>
      <c r="G31" s="1" t="s">
        <v>104</v>
      </c>
    </row>
    <row r="32" spans="1:8" ht="30.75">
      <c r="A32" s="2">
        <v>43936</v>
      </c>
      <c r="B32" s="1" t="s">
        <v>64</v>
      </c>
      <c r="C32" t="s">
        <v>26</v>
      </c>
      <c r="D32" t="s">
        <v>65</v>
      </c>
      <c r="F32" t="s">
        <v>165</v>
      </c>
      <c r="G32" s="1" t="s">
        <v>66</v>
      </c>
      <c r="H32" t="s">
        <v>5</v>
      </c>
    </row>
    <row r="33" spans="1:8" ht="30.75">
      <c r="A33" s="2">
        <v>43936</v>
      </c>
      <c r="B33" s="1" t="s">
        <v>136</v>
      </c>
      <c r="C33" t="s">
        <v>26</v>
      </c>
      <c r="D33" t="s">
        <v>139</v>
      </c>
      <c r="E33">
        <v>11115</v>
      </c>
      <c r="F33" t="s">
        <v>160</v>
      </c>
      <c r="G33" s="1" t="s">
        <v>140</v>
      </c>
      <c r="H33" t="s">
        <v>4</v>
      </c>
    </row>
    <row r="34" spans="1:8" ht="30.75">
      <c r="A34" s="2">
        <v>43937</v>
      </c>
      <c r="B34" s="1" t="s">
        <v>91</v>
      </c>
      <c r="C34" t="s">
        <v>18</v>
      </c>
      <c r="D34" t="s">
        <v>95</v>
      </c>
      <c r="F34" t="s">
        <v>157</v>
      </c>
      <c r="G34" s="1" t="s">
        <v>96</v>
      </c>
      <c r="H34" t="s">
        <v>48</v>
      </c>
    </row>
    <row r="35" spans="1:8" ht="30.75">
      <c r="A35" s="2">
        <v>43937</v>
      </c>
      <c r="B35" s="1" t="s">
        <v>15</v>
      </c>
      <c r="C35" t="s">
        <v>18</v>
      </c>
      <c r="D35" t="s">
        <v>19</v>
      </c>
      <c r="E35">
        <v>11157</v>
      </c>
      <c r="F35" t="s">
        <v>163</v>
      </c>
      <c r="G35" s="1" t="s">
        <v>20</v>
      </c>
      <c r="H35" t="s">
        <v>2</v>
      </c>
    </row>
    <row r="36" spans="1:8" ht="30.75">
      <c r="A36" s="2">
        <v>43937</v>
      </c>
      <c r="B36" s="1" t="s">
        <v>25</v>
      </c>
      <c r="C36" t="s">
        <v>18</v>
      </c>
      <c r="D36" t="s">
        <v>30</v>
      </c>
      <c r="E36">
        <v>11151</v>
      </c>
      <c r="F36" t="s">
        <v>156</v>
      </c>
      <c r="G36" s="1" t="s">
        <v>31</v>
      </c>
      <c r="H36" t="s">
        <v>5</v>
      </c>
    </row>
    <row r="37" spans="1:8" ht="30.75">
      <c r="A37" s="2">
        <v>43938</v>
      </c>
      <c r="B37" s="1" t="s">
        <v>114</v>
      </c>
      <c r="C37" t="s">
        <v>18</v>
      </c>
      <c r="D37" t="s">
        <v>115</v>
      </c>
      <c r="E37">
        <v>11188</v>
      </c>
      <c r="F37" t="s">
        <v>167</v>
      </c>
      <c r="G37" s="3" t="s">
        <v>116</v>
      </c>
      <c r="H37" s="1" t="s">
        <v>117</v>
      </c>
    </row>
    <row r="38" spans="1:8" ht="30.75">
      <c r="A38" s="2">
        <v>43941</v>
      </c>
      <c r="B38" s="1" t="s">
        <v>72</v>
      </c>
      <c r="C38" t="s">
        <v>18</v>
      </c>
      <c r="D38" t="s">
        <v>82</v>
      </c>
      <c r="E38">
        <v>11163</v>
      </c>
      <c r="F38" t="s">
        <v>161</v>
      </c>
      <c r="G38" s="1" t="s">
        <v>83</v>
      </c>
      <c r="H38" s="1" t="s">
        <v>3</v>
      </c>
    </row>
    <row r="39" spans="1:8" ht="30.75">
      <c r="A39" s="2">
        <v>43941</v>
      </c>
      <c r="B39" s="1" t="s">
        <v>46</v>
      </c>
      <c r="C39" t="s">
        <v>18</v>
      </c>
      <c r="D39" t="s">
        <v>49</v>
      </c>
      <c r="F39" t="s">
        <v>157</v>
      </c>
      <c r="G39" s="1" t="s">
        <v>50</v>
      </c>
      <c r="H39" t="s">
        <v>4</v>
      </c>
    </row>
    <row r="40" spans="1:8" ht="30.75">
      <c r="A40" s="2">
        <v>43942</v>
      </c>
      <c r="B40" s="1" t="s">
        <v>25</v>
      </c>
      <c r="C40" t="s">
        <v>18</v>
      </c>
      <c r="D40" t="s">
        <v>32</v>
      </c>
      <c r="E40">
        <v>11173</v>
      </c>
      <c r="F40" t="s">
        <v>168</v>
      </c>
      <c r="G40" s="1" t="s">
        <v>33</v>
      </c>
      <c r="H40" t="s">
        <v>3</v>
      </c>
    </row>
    <row r="41" spans="1:8" ht="30.75">
      <c r="A41" s="2">
        <v>43942</v>
      </c>
      <c r="B41" s="1" t="s">
        <v>148</v>
      </c>
      <c r="C41" t="s">
        <v>18</v>
      </c>
      <c r="D41" t="s">
        <v>118</v>
      </c>
      <c r="F41" t="s">
        <v>165</v>
      </c>
      <c r="G41" s="1" t="s">
        <v>127</v>
      </c>
      <c r="H41" t="s">
        <v>4</v>
      </c>
    </row>
    <row r="42" spans="1:8" ht="30.75">
      <c r="A42" s="2">
        <v>43943</v>
      </c>
      <c r="B42" s="1" t="s">
        <v>51</v>
      </c>
      <c r="C42" t="s">
        <v>18</v>
      </c>
      <c r="D42" t="s">
        <v>54</v>
      </c>
      <c r="F42" t="s">
        <v>165</v>
      </c>
      <c r="G42" s="1" t="s">
        <v>55</v>
      </c>
      <c r="H42" t="s">
        <v>2</v>
      </c>
    </row>
    <row r="43" spans="1:8" ht="30.75">
      <c r="A43" s="2">
        <v>43943</v>
      </c>
      <c r="B43" s="1" t="s">
        <v>114</v>
      </c>
      <c r="C43" t="s">
        <v>18</v>
      </c>
      <c r="D43" t="s">
        <v>118</v>
      </c>
      <c r="F43" t="s">
        <v>165</v>
      </c>
      <c r="G43" s="1" t="s">
        <v>119</v>
      </c>
      <c r="H43" t="s">
        <v>4</v>
      </c>
    </row>
    <row r="44" spans="1:8" ht="30.75">
      <c r="A44" s="2">
        <v>43944</v>
      </c>
      <c r="B44" t="s">
        <v>15</v>
      </c>
      <c r="C44" t="s">
        <v>18</v>
      </c>
      <c r="D44" t="s">
        <v>21</v>
      </c>
      <c r="F44" t="s">
        <v>165</v>
      </c>
      <c r="G44" s="1" t="s">
        <v>22</v>
      </c>
      <c r="H44" s="1"/>
    </row>
    <row r="45" spans="1:8" ht="30.75">
      <c r="A45" s="2">
        <v>43944</v>
      </c>
      <c r="B45" t="s">
        <v>149</v>
      </c>
      <c r="C45" t="s">
        <v>16</v>
      </c>
      <c r="D45">
        <v>1247</v>
      </c>
      <c r="F45" t="s">
        <v>165</v>
      </c>
      <c r="G45" s="1" t="s">
        <v>47</v>
      </c>
      <c r="H45" t="s">
        <v>48</v>
      </c>
    </row>
    <row r="46" spans="1:8" ht="60.75">
      <c r="A46" s="2">
        <v>43945</v>
      </c>
      <c r="B46" t="s">
        <v>133</v>
      </c>
      <c r="C46" t="s">
        <v>26</v>
      </c>
      <c r="D46" t="s">
        <v>134</v>
      </c>
      <c r="F46" t="s">
        <v>157</v>
      </c>
      <c r="G46" s="1" t="s">
        <v>135</v>
      </c>
      <c r="H46" t="s">
        <v>5</v>
      </c>
    </row>
    <row r="47" spans="1:8" ht="30.75">
      <c r="A47" s="2">
        <v>43948</v>
      </c>
      <c r="B47" s="1" t="s">
        <v>114</v>
      </c>
      <c r="C47" t="s">
        <v>18</v>
      </c>
      <c r="D47" t="s">
        <v>120</v>
      </c>
      <c r="E47">
        <v>11157</v>
      </c>
      <c r="F47" t="s">
        <v>163</v>
      </c>
      <c r="G47" s="1" t="s">
        <v>121</v>
      </c>
      <c r="H47" t="s">
        <v>4</v>
      </c>
    </row>
    <row r="48" spans="1:8" ht="30.75">
      <c r="A48" s="2">
        <v>43948</v>
      </c>
      <c r="B48" s="1" t="s">
        <v>64</v>
      </c>
      <c r="C48" t="s">
        <v>18</v>
      </c>
      <c r="D48" t="s">
        <v>67</v>
      </c>
      <c r="E48">
        <v>11205</v>
      </c>
      <c r="F48" t="s">
        <v>169</v>
      </c>
      <c r="G48" s="1" t="s">
        <v>68</v>
      </c>
      <c r="H48" t="s">
        <v>48</v>
      </c>
    </row>
    <row r="49" spans="1:8" ht="30.75">
      <c r="A49" s="2">
        <v>43949</v>
      </c>
      <c r="B49" t="s">
        <v>59</v>
      </c>
      <c r="C49" t="s">
        <v>26</v>
      </c>
      <c r="D49" t="s">
        <v>62</v>
      </c>
      <c r="F49" t="s">
        <v>165</v>
      </c>
      <c r="G49" s="1" t="s">
        <v>63</v>
      </c>
      <c r="H49" t="s">
        <v>3</v>
      </c>
    </row>
    <row r="50" spans="1:8" ht="30.75">
      <c r="A50" s="2">
        <v>43949</v>
      </c>
      <c r="B50" t="s">
        <v>141</v>
      </c>
      <c r="C50" t="s">
        <v>18</v>
      </c>
      <c r="D50" t="s">
        <v>142</v>
      </c>
      <c r="E50">
        <v>11222</v>
      </c>
      <c r="F50" t="s">
        <v>162</v>
      </c>
      <c r="G50" s="1" t="s">
        <v>143</v>
      </c>
    </row>
    <row r="51" spans="1:8" ht="30.75">
      <c r="A51" s="2">
        <v>43950</v>
      </c>
      <c r="B51" s="1" t="s">
        <v>40</v>
      </c>
      <c r="C51" t="s">
        <v>18</v>
      </c>
      <c r="D51" t="s">
        <v>43</v>
      </c>
      <c r="F51" t="s">
        <v>157</v>
      </c>
      <c r="G51" s="1" t="s">
        <v>44</v>
      </c>
      <c r="H51" s="1" t="s">
        <v>45</v>
      </c>
    </row>
    <row r="52" spans="1:8" ht="60.75">
      <c r="A52" s="2">
        <v>43951</v>
      </c>
      <c r="B52" t="s">
        <v>34</v>
      </c>
      <c r="C52" t="s">
        <v>26</v>
      </c>
      <c r="D52" t="s">
        <v>38</v>
      </c>
      <c r="F52" t="s">
        <v>165</v>
      </c>
      <c r="G52" s="1" t="s">
        <v>39</v>
      </c>
      <c r="H52" t="s">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93101-B2CF-4A84-952E-ADD207223185}">
  <dimension ref="A1:D26"/>
  <sheetViews>
    <sheetView workbookViewId="0"/>
  </sheetViews>
  <sheetFormatPr defaultRowHeight="15"/>
  <cols>
    <col min="1" max="1" width="16" bestFit="1" customWidth="1"/>
    <col min="2" max="2" width="16" customWidth="1"/>
    <col min="3" max="3" width="19.5703125" bestFit="1" customWidth="1"/>
    <col min="4" max="4" width="20.140625" bestFit="1" customWidth="1"/>
  </cols>
  <sheetData>
    <row r="1" spans="1:4">
      <c r="A1" t="s">
        <v>170</v>
      </c>
      <c r="B1" t="s">
        <v>171</v>
      </c>
      <c r="C1" t="s">
        <v>172</v>
      </c>
      <c r="D1" t="s">
        <v>173</v>
      </c>
    </row>
    <row r="2" spans="1:4">
      <c r="A2" t="s">
        <v>174</v>
      </c>
      <c r="B2" t="s">
        <v>175</v>
      </c>
      <c r="C2" s="1" t="s">
        <v>72</v>
      </c>
      <c r="D2" t="s">
        <v>176</v>
      </c>
    </row>
    <row r="3" spans="1:4">
      <c r="A3" t="s">
        <v>177</v>
      </c>
      <c r="B3" t="s">
        <v>178</v>
      </c>
      <c r="C3" s="1" t="s">
        <v>124</v>
      </c>
      <c r="D3" t="s">
        <v>179</v>
      </c>
    </row>
    <row r="4" spans="1:4">
      <c r="A4" t="s">
        <v>180</v>
      </c>
      <c r="B4" t="s">
        <v>181</v>
      </c>
      <c r="C4" s="1" t="s">
        <v>100</v>
      </c>
      <c r="D4" t="s">
        <v>182</v>
      </c>
    </row>
    <row r="5" spans="1:4">
      <c r="A5" t="s">
        <v>183</v>
      </c>
      <c r="B5" t="s">
        <v>184</v>
      </c>
      <c r="C5" s="1" t="s">
        <v>105</v>
      </c>
      <c r="D5" t="s">
        <v>182</v>
      </c>
    </row>
    <row r="6" spans="1:4">
      <c r="A6" t="s">
        <v>185</v>
      </c>
      <c r="B6" t="s">
        <v>186</v>
      </c>
      <c r="C6" s="1" t="s">
        <v>15</v>
      </c>
      <c r="D6" t="s">
        <v>187</v>
      </c>
    </row>
    <row r="7" spans="1:4">
      <c r="A7" t="s">
        <v>188</v>
      </c>
      <c r="B7" t="s">
        <v>189</v>
      </c>
      <c r="C7" s="1" t="s">
        <v>108</v>
      </c>
      <c r="D7" t="s">
        <v>182</v>
      </c>
    </row>
    <row r="8" spans="1:4">
      <c r="A8" t="s">
        <v>190</v>
      </c>
      <c r="B8" t="s">
        <v>189</v>
      </c>
      <c r="C8" s="1" t="s">
        <v>23</v>
      </c>
      <c r="D8" t="s">
        <v>187</v>
      </c>
    </row>
    <row r="9" spans="1:4">
      <c r="A9" t="s">
        <v>191</v>
      </c>
      <c r="B9" t="s">
        <v>189</v>
      </c>
      <c r="C9" s="1" t="s">
        <v>131</v>
      </c>
      <c r="D9" t="s">
        <v>179</v>
      </c>
    </row>
    <row r="10" spans="1:4">
      <c r="A10" t="s">
        <v>192</v>
      </c>
      <c r="B10" t="s">
        <v>193</v>
      </c>
      <c r="C10" s="1" t="s">
        <v>46</v>
      </c>
      <c r="D10" t="s">
        <v>194</v>
      </c>
    </row>
    <row r="11" spans="1:4">
      <c r="A11" t="s">
        <v>195</v>
      </c>
      <c r="B11" t="s">
        <v>196</v>
      </c>
      <c r="C11" s="1" t="s">
        <v>133</v>
      </c>
      <c r="D11" t="s">
        <v>179</v>
      </c>
    </row>
    <row r="12" spans="1:4">
      <c r="A12" t="s">
        <v>197</v>
      </c>
      <c r="B12" t="s">
        <v>198</v>
      </c>
      <c r="C12" s="1" t="s">
        <v>110</v>
      </c>
      <c r="D12" t="s">
        <v>182</v>
      </c>
    </row>
    <row r="13" spans="1:4">
      <c r="A13" t="s">
        <v>199</v>
      </c>
      <c r="B13" t="s">
        <v>200</v>
      </c>
      <c r="C13" s="1" t="s">
        <v>51</v>
      </c>
      <c r="D13" t="s">
        <v>194</v>
      </c>
    </row>
    <row r="14" spans="1:4">
      <c r="A14" t="s">
        <v>201</v>
      </c>
      <c r="B14" t="s">
        <v>200</v>
      </c>
      <c r="C14" s="1" t="s">
        <v>84</v>
      </c>
      <c r="D14" t="s">
        <v>176</v>
      </c>
    </row>
    <row r="15" spans="1:4">
      <c r="A15" t="s">
        <v>202</v>
      </c>
      <c r="B15" t="s">
        <v>203</v>
      </c>
      <c r="C15" s="1" t="s">
        <v>25</v>
      </c>
      <c r="D15" t="s">
        <v>187</v>
      </c>
    </row>
    <row r="16" spans="1:4">
      <c r="A16" t="s">
        <v>204</v>
      </c>
      <c r="B16" t="s">
        <v>205</v>
      </c>
      <c r="C16" s="1" t="s">
        <v>59</v>
      </c>
      <c r="D16" t="s">
        <v>194</v>
      </c>
    </row>
    <row r="17" spans="1:4">
      <c r="A17" t="s">
        <v>206</v>
      </c>
      <c r="B17" t="s">
        <v>207</v>
      </c>
      <c r="C17" s="1" t="s">
        <v>64</v>
      </c>
      <c r="D17" t="s">
        <v>194</v>
      </c>
    </row>
    <row r="18" spans="1:4">
      <c r="A18" t="s">
        <v>201</v>
      </c>
      <c r="B18" t="s">
        <v>207</v>
      </c>
      <c r="C18" s="1" t="s">
        <v>34</v>
      </c>
      <c r="D18" t="s">
        <v>187</v>
      </c>
    </row>
    <row r="19" spans="1:4">
      <c r="A19" t="s">
        <v>208</v>
      </c>
      <c r="B19" t="s">
        <v>209</v>
      </c>
      <c r="C19" s="1" t="s">
        <v>114</v>
      </c>
      <c r="D19" t="s">
        <v>182</v>
      </c>
    </row>
    <row r="20" spans="1:4">
      <c r="A20" t="s">
        <v>210</v>
      </c>
      <c r="B20" t="s">
        <v>211</v>
      </c>
      <c r="C20" s="1" t="s">
        <v>69</v>
      </c>
      <c r="D20" t="s">
        <v>194</v>
      </c>
    </row>
    <row r="21" spans="1:4">
      <c r="A21" t="s">
        <v>212</v>
      </c>
      <c r="B21" t="s">
        <v>213</v>
      </c>
      <c r="C21" s="1" t="s">
        <v>40</v>
      </c>
      <c r="D21" t="s">
        <v>187</v>
      </c>
    </row>
    <row r="22" spans="1:4">
      <c r="A22" t="s">
        <v>214</v>
      </c>
      <c r="B22" t="s">
        <v>215</v>
      </c>
      <c r="C22" s="1" t="s">
        <v>136</v>
      </c>
      <c r="D22" t="s">
        <v>179</v>
      </c>
    </row>
    <row r="23" spans="1:4">
      <c r="A23" t="s">
        <v>216</v>
      </c>
      <c r="B23" t="s">
        <v>217</v>
      </c>
      <c r="C23" s="1" t="s">
        <v>87</v>
      </c>
      <c r="D23" t="s">
        <v>176</v>
      </c>
    </row>
    <row r="24" spans="1:4">
      <c r="A24" t="s">
        <v>218</v>
      </c>
      <c r="B24" t="s">
        <v>219</v>
      </c>
      <c r="C24" s="1" t="s">
        <v>91</v>
      </c>
      <c r="D24" t="s">
        <v>176</v>
      </c>
    </row>
    <row r="25" spans="1:4">
      <c r="A25" t="s">
        <v>220</v>
      </c>
      <c r="B25" t="s">
        <v>221</v>
      </c>
      <c r="C25" s="1" t="s">
        <v>141</v>
      </c>
      <c r="D25" t="s">
        <v>179</v>
      </c>
    </row>
    <row r="26" spans="1:4">
      <c r="A26" t="s">
        <v>222</v>
      </c>
      <c r="B26" t="s">
        <v>223</v>
      </c>
      <c r="C26" s="1" t="s">
        <v>97</v>
      </c>
      <c r="D26" t="s">
        <v>176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2026-05-19T17:22:39Z</dcterms:created>
  <dcterms:modified xsi:type="dcterms:W3CDTF">2026-05-27T20:19:58Z</dcterms:modified>
  <cp:category/>
  <cp:contentStatus/>
</cp:coreProperties>
</file>